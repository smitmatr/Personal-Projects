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r\Desktop\Hunting\"/>
    </mc:Choice>
  </mc:AlternateContent>
  <xr:revisionPtr revIDLastSave="0" documentId="13_ncr:1_{73953FF5-87FF-45A3-8EAE-EFE7465FFCC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Goat 2024" sheetId="15" r:id="rId1"/>
    <sheet name="Abe Moose" sheetId="14" r:id="rId2"/>
    <sheet name="Denali RV" sheetId="12" r:id="rId3"/>
    <sheet name="Sheep 2022" sheetId="13" r:id="rId4"/>
    <sheet name="Sheep 2021" sheetId="9" r:id="rId5"/>
    <sheet name="Sheet2" sheetId="10" r:id="rId6"/>
    <sheet name="2020-21 Wishlist" sheetId="8" r:id="rId7"/>
    <sheet name="Boat&amp;Bou" sheetId="7" r:id="rId8"/>
    <sheet name="Sheep 2020" sheetId="6" r:id="rId9"/>
    <sheet name="Bear Hunt" sheetId="5" r:id="rId10"/>
    <sheet name="Crows Pass Backpacking" sheetId="1" r:id="rId11"/>
    <sheet name="Fly fishing" sheetId="2" state="hidden" r:id="rId12"/>
    <sheet name="Moose Hunt" sheetId="3" state="hidden" r:id="rId13"/>
    <sheet name="Duck hunt" sheetId="4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88" i="15" l="1"/>
  <c r="J188" i="15" s="1"/>
  <c r="O185" i="15"/>
  <c r="S183" i="15"/>
  <c r="T183" i="15" s="1"/>
  <c r="R183" i="15"/>
  <c r="Q183" i="15"/>
  <c r="P183" i="15"/>
  <c r="O183" i="15"/>
  <c r="R182" i="15"/>
  <c r="Q182" i="15"/>
  <c r="P182" i="15"/>
  <c r="O182" i="15"/>
  <c r="I182" i="15"/>
  <c r="J182" i="15" s="1"/>
  <c r="S181" i="15"/>
  <c r="T181" i="15" s="1"/>
  <c r="R181" i="15"/>
  <c r="Q181" i="15"/>
  <c r="P181" i="15"/>
  <c r="O181" i="15"/>
  <c r="S180" i="15"/>
  <c r="T180" i="15" s="1"/>
  <c r="R180" i="15"/>
  <c r="Q180" i="15"/>
  <c r="P180" i="15"/>
  <c r="O180" i="15"/>
  <c r="S179" i="15"/>
  <c r="T179" i="15" s="1"/>
  <c r="R179" i="15"/>
  <c r="Q179" i="15"/>
  <c r="P179" i="15"/>
  <c r="O179" i="15"/>
  <c r="R178" i="15"/>
  <c r="Q178" i="15"/>
  <c r="P178" i="15"/>
  <c r="O178" i="15"/>
  <c r="I178" i="15"/>
  <c r="J178" i="15" s="1"/>
  <c r="S177" i="15"/>
  <c r="T177" i="15" s="1"/>
  <c r="R177" i="15"/>
  <c r="Q177" i="15"/>
  <c r="P177" i="15"/>
  <c r="O177" i="15"/>
  <c r="J177" i="15"/>
  <c r="S176" i="15"/>
  <c r="T176" i="15" s="1"/>
  <c r="R176" i="15"/>
  <c r="Q176" i="15"/>
  <c r="K176" i="15"/>
  <c r="P176" i="15" s="1"/>
  <c r="H176" i="15"/>
  <c r="O176" i="15" s="1"/>
  <c r="S175" i="15"/>
  <c r="T175" i="15" s="1"/>
  <c r="R175" i="15"/>
  <c r="Q175" i="15"/>
  <c r="P175" i="15"/>
  <c r="O175" i="15"/>
  <c r="R174" i="15"/>
  <c r="Q174" i="15"/>
  <c r="P174" i="15"/>
  <c r="O174" i="15"/>
  <c r="I174" i="15"/>
  <c r="J174" i="15" s="1"/>
  <c r="R173" i="15"/>
  <c r="Q173" i="15"/>
  <c r="P173" i="15"/>
  <c r="O173" i="15"/>
  <c r="I173" i="15"/>
  <c r="J173" i="15" s="1"/>
  <c r="R172" i="15"/>
  <c r="Q172" i="15"/>
  <c r="P172" i="15"/>
  <c r="O172" i="15"/>
  <c r="I172" i="15"/>
  <c r="J172" i="15" s="1"/>
  <c r="R171" i="15"/>
  <c r="Q171" i="15"/>
  <c r="P171" i="15"/>
  <c r="O171" i="15"/>
  <c r="I171" i="15"/>
  <c r="J171" i="15" s="1"/>
  <c r="R170" i="15"/>
  <c r="Q170" i="15"/>
  <c r="P170" i="15"/>
  <c r="O170" i="15"/>
  <c r="I170" i="15"/>
  <c r="J170" i="15" s="1"/>
  <c r="R169" i="15"/>
  <c r="Q169" i="15"/>
  <c r="P169" i="15"/>
  <c r="O169" i="15"/>
  <c r="I169" i="15"/>
  <c r="J169" i="15" s="1"/>
  <c r="R168" i="15"/>
  <c r="Q168" i="15"/>
  <c r="P168" i="15"/>
  <c r="O168" i="15"/>
  <c r="I168" i="15"/>
  <c r="J168" i="15" s="1"/>
  <c r="R167" i="15"/>
  <c r="Q167" i="15"/>
  <c r="P167" i="15"/>
  <c r="O167" i="15"/>
  <c r="I167" i="15"/>
  <c r="J167" i="15" s="1"/>
  <c r="R166" i="15"/>
  <c r="Q166" i="15"/>
  <c r="P166" i="15"/>
  <c r="O166" i="15"/>
  <c r="I166" i="15"/>
  <c r="J166" i="15" s="1"/>
  <c r="I163" i="15"/>
  <c r="I162" i="15"/>
  <c r="I161" i="15"/>
  <c r="I159" i="15"/>
  <c r="I152" i="15"/>
  <c r="I151" i="15"/>
  <c r="I150" i="15"/>
  <c r="H113" i="15"/>
  <c r="I107" i="15"/>
  <c r="I106" i="15"/>
  <c r="I80" i="15"/>
  <c r="I77" i="15"/>
  <c r="I61" i="15"/>
  <c r="I56" i="15"/>
  <c r="I55" i="15"/>
  <c r="I54" i="15"/>
  <c r="I52" i="15"/>
  <c r="I50" i="15"/>
  <c r="I49" i="15"/>
  <c r="I45" i="15"/>
  <c r="I43" i="15"/>
  <c r="I42" i="15"/>
  <c r="I39" i="15"/>
  <c r="I37" i="15"/>
  <c r="H34" i="15"/>
  <c r="I30" i="15"/>
  <c r="I25" i="15"/>
  <c r="I24" i="15"/>
  <c r="I23" i="15"/>
  <c r="I21" i="15"/>
  <c r="I20" i="15"/>
  <c r="I19" i="15"/>
  <c r="I17" i="15"/>
  <c r="I14" i="15"/>
  <c r="H13" i="15"/>
  <c r="I13" i="15" s="1"/>
  <c r="G13" i="15"/>
  <c r="H12" i="15"/>
  <c r="I12" i="15" s="1"/>
  <c r="G12" i="15"/>
  <c r="I11" i="15"/>
  <c r="G11" i="15"/>
  <c r="I116" i="14"/>
  <c r="J116" i="14" s="1"/>
  <c r="O113" i="14"/>
  <c r="S111" i="14"/>
  <c r="T111" i="14" s="1"/>
  <c r="R111" i="14"/>
  <c r="Q111" i="14"/>
  <c r="P111" i="14"/>
  <c r="O111" i="14"/>
  <c r="R110" i="14"/>
  <c r="Q110" i="14"/>
  <c r="P110" i="14"/>
  <c r="O110" i="14"/>
  <c r="I110" i="14"/>
  <c r="J110" i="14" s="1"/>
  <c r="S109" i="14"/>
  <c r="T109" i="14" s="1"/>
  <c r="R109" i="14"/>
  <c r="Q109" i="14"/>
  <c r="P109" i="14"/>
  <c r="O109" i="14"/>
  <c r="S108" i="14"/>
  <c r="T108" i="14" s="1"/>
  <c r="R108" i="14"/>
  <c r="Q108" i="14"/>
  <c r="P108" i="14"/>
  <c r="O108" i="14"/>
  <c r="S107" i="14"/>
  <c r="T107" i="14" s="1"/>
  <c r="R107" i="14"/>
  <c r="Q107" i="14"/>
  <c r="P107" i="14"/>
  <c r="O107" i="14"/>
  <c r="R106" i="14"/>
  <c r="Q106" i="14"/>
  <c r="P106" i="14"/>
  <c r="O106" i="14"/>
  <c r="I106" i="14"/>
  <c r="J106" i="14" s="1"/>
  <c r="S105" i="14"/>
  <c r="T105" i="14" s="1"/>
  <c r="R105" i="14"/>
  <c r="Q105" i="14"/>
  <c r="P105" i="14"/>
  <c r="O105" i="14"/>
  <c r="J105" i="14"/>
  <c r="S104" i="14"/>
  <c r="T104" i="14" s="1"/>
  <c r="R104" i="14"/>
  <c r="Q104" i="14"/>
  <c r="K104" i="14"/>
  <c r="P104" i="14" s="1"/>
  <c r="H104" i="14"/>
  <c r="O104" i="14" s="1"/>
  <c r="S103" i="14"/>
  <c r="T103" i="14" s="1"/>
  <c r="R103" i="14"/>
  <c r="Q103" i="14"/>
  <c r="P103" i="14"/>
  <c r="O103" i="14"/>
  <c r="R102" i="14"/>
  <c r="Q102" i="14"/>
  <c r="P102" i="14"/>
  <c r="O102" i="14"/>
  <c r="I102" i="14"/>
  <c r="J102" i="14" s="1"/>
  <c r="R101" i="14"/>
  <c r="Q101" i="14"/>
  <c r="P101" i="14"/>
  <c r="O101" i="14"/>
  <c r="I101" i="14"/>
  <c r="J101" i="14" s="1"/>
  <c r="R100" i="14"/>
  <c r="Q100" i="14"/>
  <c r="P100" i="14"/>
  <c r="O100" i="14"/>
  <c r="I100" i="14"/>
  <c r="J100" i="14" s="1"/>
  <c r="R99" i="14"/>
  <c r="Q99" i="14"/>
  <c r="P99" i="14"/>
  <c r="O99" i="14"/>
  <c r="I99" i="14"/>
  <c r="S99" i="14" s="1"/>
  <c r="T99" i="14" s="1"/>
  <c r="R98" i="14"/>
  <c r="Q98" i="14"/>
  <c r="P98" i="14"/>
  <c r="O98" i="14"/>
  <c r="I98" i="14"/>
  <c r="J98" i="14" s="1"/>
  <c r="R97" i="14"/>
  <c r="Q97" i="14"/>
  <c r="P97" i="14"/>
  <c r="O97" i="14"/>
  <c r="I97" i="14"/>
  <c r="S97" i="14" s="1"/>
  <c r="T97" i="14" s="1"/>
  <c r="R96" i="14"/>
  <c r="Q96" i="14"/>
  <c r="P96" i="14"/>
  <c r="O96" i="14"/>
  <c r="I96" i="14"/>
  <c r="J96" i="14" s="1"/>
  <c r="R95" i="14"/>
  <c r="Q95" i="14"/>
  <c r="P95" i="14"/>
  <c r="O95" i="14"/>
  <c r="I95" i="14"/>
  <c r="J95" i="14" s="1"/>
  <c r="R94" i="14"/>
  <c r="Q94" i="14"/>
  <c r="P94" i="14"/>
  <c r="O94" i="14"/>
  <c r="I94" i="14"/>
  <c r="J94" i="14" s="1"/>
  <c r="I88" i="14"/>
  <c r="H68" i="14"/>
  <c r="I65" i="14"/>
  <c r="I40" i="14"/>
  <c r="I25" i="14"/>
  <c r="I22" i="14"/>
  <c r="I21" i="14"/>
  <c r="I17" i="14"/>
  <c r="I14" i="14"/>
  <c r="I13" i="14"/>
  <c r="H12" i="14"/>
  <c r="G12" i="14"/>
  <c r="H11" i="14"/>
  <c r="I11" i="14" s="1"/>
  <c r="G11" i="14"/>
  <c r="I10" i="14"/>
  <c r="G10" i="14"/>
  <c r="B8" i="3"/>
  <c r="B7" i="3"/>
  <c r="B6" i="3"/>
  <c r="C5" i="3"/>
  <c r="B5" i="3"/>
  <c r="E40" i="1"/>
  <c r="E39" i="1"/>
  <c r="E38" i="1"/>
  <c r="E35" i="1"/>
  <c r="E34" i="1"/>
  <c r="E33" i="1"/>
  <c r="E32" i="1"/>
  <c r="E31" i="1"/>
  <c r="E30" i="1"/>
  <c r="E29" i="1"/>
  <c r="E26" i="1"/>
  <c r="E25" i="1"/>
  <c r="E24" i="1"/>
  <c r="E23" i="1"/>
  <c r="O22" i="1"/>
  <c r="O13" i="1" s="1"/>
  <c r="E22" i="1"/>
  <c r="E21" i="1"/>
  <c r="E20" i="1"/>
  <c r="O19" i="1"/>
  <c r="E19" i="1"/>
  <c r="O18" i="1"/>
  <c r="E18" i="1"/>
  <c r="O17" i="1"/>
  <c r="E17" i="1"/>
  <c r="O16" i="1"/>
  <c r="N16" i="1"/>
  <c r="N22" i="1" s="1"/>
  <c r="E16" i="1"/>
  <c r="O15" i="1"/>
  <c r="E15" i="1"/>
  <c r="E14" i="1"/>
  <c r="E13" i="1"/>
  <c r="E12" i="1"/>
  <c r="E11" i="1"/>
  <c r="E10" i="1"/>
  <c r="D10" i="1"/>
  <c r="O9" i="1"/>
  <c r="E9" i="1"/>
  <c r="O8" i="1"/>
  <c r="E8" i="1"/>
  <c r="O7" i="1"/>
  <c r="D7" i="1"/>
  <c r="E7" i="1" s="1"/>
  <c r="C7" i="1"/>
  <c r="O6" i="1"/>
  <c r="E6" i="1"/>
  <c r="C6" i="1"/>
  <c r="N5" i="1"/>
  <c r="O5" i="1" s="1"/>
  <c r="E5" i="1"/>
  <c r="C5" i="1"/>
  <c r="O4" i="1"/>
  <c r="O11" i="1" s="1"/>
  <c r="E4" i="1"/>
  <c r="E42" i="1" s="1"/>
  <c r="E2" i="1" s="1"/>
  <c r="C4" i="1"/>
  <c r="C42" i="1" s="1"/>
  <c r="D74" i="5"/>
  <c r="C74" i="5"/>
  <c r="E73" i="5"/>
  <c r="E72" i="5"/>
  <c r="E71" i="5"/>
  <c r="E70" i="5"/>
  <c r="E58" i="5"/>
  <c r="E57" i="5"/>
  <c r="E56" i="5"/>
  <c r="E55" i="5"/>
  <c r="E54" i="5"/>
  <c r="E53" i="5"/>
  <c r="E52" i="5"/>
  <c r="E49" i="5"/>
  <c r="E48" i="5"/>
  <c r="E47" i="5"/>
  <c r="E40" i="5"/>
  <c r="E39" i="5"/>
  <c r="E36" i="5"/>
  <c r="E35" i="5"/>
  <c r="E34" i="5"/>
  <c r="E33" i="5"/>
  <c r="E32" i="5"/>
  <c r="E31" i="5"/>
  <c r="E30" i="5"/>
  <c r="E22" i="5"/>
  <c r="E21" i="5"/>
  <c r="D21" i="5"/>
  <c r="E20" i="5"/>
  <c r="E19" i="5"/>
  <c r="D18" i="5"/>
  <c r="E18" i="5" s="1"/>
  <c r="C18" i="5"/>
  <c r="E17" i="5"/>
  <c r="C17" i="5"/>
  <c r="E16" i="5"/>
  <c r="C16" i="5"/>
  <c r="E15" i="5"/>
  <c r="C15" i="5"/>
  <c r="E10" i="5"/>
  <c r="D9" i="5"/>
  <c r="E8" i="5"/>
  <c r="E7" i="5"/>
  <c r="D6" i="5"/>
  <c r="G126" i="6"/>
  <c r="G125" i="6"/>
  <c r="G124" i="6"/>
  <c r="G122" i="6"/>
  <c r="G115" i="6"/>
  <c r="G114" i="6"/>
  <c r="G113" i="6"/>
  <c r="G101" i="6"/>
  <c r="H96" i="6"/>
  <c r="H95" i="6"/>
  <c r="F83" i="6"/>
  <c r="G80" i="6"/>
  <c r="G79" i="6"/>
  <c r="G63" i="6"/>
  <c r="G62" i="6"/>
  <c r="G61" i="6"/>
  <c r="G57" i="6"/>
  <c r="G55" i="6"/>
  <c r="G53" i="6"/>
  <c r="G52" i="6"/>
  <c r="G51" i="6"/>
  <c r="F48" i="6"/>
  <c r="G45" i="6"/>
  <c r="G44" i="6"/>
  <c r="F43" i="6"/>
  <c r="G38" i="6"/>
  <c r="G37" i="6"/>
  <c r="G36" i="6"/>
  <c r="G35" i="6"/>
  <c r="G30" i="6"/>
  <c r="G29" i="6"/>
  <c r="F29" i="6"/>
  <c r="F127" i="6" s="1"/>
  <c r="E29" i="6"/>
  <c r="G28" i="6"/>
  <c r="E28" i="6"/>
  <c r="G27" i="6"/>
  <c r="E27" i="6"/>
  <c r="G26" i="6"/>
  <c r="G127" i="6" s="1"/>
  <c r="E26" i="6"/>
  <c r="E127" i="6" s="1"/>
  <c r="N153" i="7"/>
  <c r="N142" i="7"/>
  <c r="G142" i="7"/>
  <c r="N141" i="7"/>
  <c r="G141" i="7"/>
  <c r="N140" i="7"/>
  <c r="G140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H95" i="7" s="1"/>
  <c r="H94" i="7"/>
  <c r="G94" i="7"/>
  <c r="G93" i="7"/>
  <c r="G92" i="7"/>
  <c r="G91" i="7"/>
  <c r="G90" i="7"/>
  <c r="G89" i="7"/>
  <c r="G88" i="7"/>
  <c r="G87" i="7"/>
  <c r="G86" i="7"/>
  <c r="G85" i="7"/>
  <c r="G84" i="7"/>
  <c r="G83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49" i="7"/>
  <c r="G48" i="7"/>
  <c r="G47" i="7"/>
  <c r="G45" i="7"/>
  <c r="G44" i="7"/>
  <c r="G43" i="7"/>
  <c r="G42" i="7"/>
  <c r="G40" i="7"/>
  <c r="G39" i="7"/>
  <c r="G38" i="7"/>
  <c r="G37" i="7"/>
  <c r="G36" i="7"/>
  <c r="G35" i="7"/>
  <c r="G34" i="7"/>
  <c r="G33" i="7"/>
  <c r="G32" i="7"/>
  <c r="G31" i="7"/>
  <c r="G30" i="7"/>
  <c r="F29" i="7"/>
  <c r="G29" i="7" s="1"/>
  <c r="E29" i="7"/>
  <c r="G28" i="7"/>
  <c r="E28" i="7"/>
  <c r="E127" i="7" s="1"/>
  <c r="G27" i="7"/>
  <c r="E27" i="7"/>
  <c r="G26" i="7"/>
  <c r="E26" i="7"/>
  <c r="N9" i="10"/>
  <c r="M9" i="10"/>
  <c r="L9" i="10"/>
  <c r="K9" i="10"/>
  <c r="J9" i="10"/>
  <c r="I9" i="10"/>
  <c r="H9" i="10"/>
  <c r="G9" i="10"/>
  <c r="F9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H197" i="9"/>
  <c r="I197" i="9" s="1"/>
  <c r="N194" i="9"/>
  <c r="R192" i="9"/>
  <c r="S192" i="9" s="1"/>
  <c r="Q192" i="9"/>
  <c r="P192" i="9"/>
  <c r="O192" i="9"/>
  <c r="N192" i="9"/>
  <c r="Q191" i="9"/>
  <c r="P191" i="9"/>
  <c r="O191" i="9"/>
  <c r="N191" i="9"/>
  <c r="I191" i="9"/>
  <c r="H191" i="9"/>
  <c r="R191" i="9" s="1"/>
  <c r="S191" i="9" s="1"/>
  <c r="R190" i="9"/>
  <c r="S190" i="9" s="1"/>
  <c r="Q190" i="9"/>
  <c r="P190" i="9"/>
  <c r="O190" i="9"/>
  <c r="N190" i="9"/>
  <c r="S189" i="9"/>
  <c r="R189" i="9"/>
  <c r="Q189" i="9"/>
  <c r="P189" i="9"/>
  <c r="O189" i="9"/>
  <c r="N189" i="9"/>
  <c r="R188" i="9"/>
  <c r="S188" i="9" s="1"/>
  <c r="Q188" i="9"/>
  <c r="Q193" i="9" s="1"/>
  <c r="P188" i="9"/>
  <c r="P193" i="9" s="1"/>
  <c r="O188" i="9"/>
  <c r="N188" i="9"/>
  <c r="Q187" i="9"/>
  <c r="P187" i="9"/>
  <c r="O187" i="9"/>
  <c r="N187" i="9"/>
  <c r="I187" i="9"/>
  <c r="H187" i="9"/>
  <c r="R186" i="9"/>
  <c r="S186" i="9" s="1"/>
  <c r="Q186" i="9"/>
  <c r="P186" i="9"/>
  <c r="O186" i="9"/>
  <c r="N186" i="9"/>
  <c r="I186" i="9"/>
  <c r="S185" i="9"/>
  <c r="R185" i="9"/>
  <c r="Q185" i="9"/>
  <c r="P185" i="9"/>
  <c r="J185" i="9"/>
  <c r="O185" i="9" s="1"/>
  <c r="I185" i="9"/>
  <c r="G185" i="9"/>
  <c r="N185" i="9" s="1"/>
  <c r="R184" i="9"/>
  <c r="S184" i="9" s="1"/>
  <c r="Q184" i="9"/>
  <c r="P184" i="9"/>
  <c r="O184" i="9"/>
  <c r="N184" i="9"/>
  <c r="S183" i="9"/>
  <c r="R183" i="9"/>
  <c r="Q183" i="9"/>
  <c r="P183" i="9"/>
  <c r="O183" i="9"/>
  <c r="N183" i="9"/>
  <c r="H183" i="9"/>
  <c r="I183" i="9" s="1"/>
  <c r="S182" i="9"/>
  <c r="R182" i="9"/>
  <c r="Q182" i="9"/>
  <c r="P182" i="9"/>
  <c r="O182" i="9"/>
  <c r="N182" i="9"/>
  <c r="H182" i="9"/>
  <c r="I182" i="9" s="1"/>
  <c r="S181" i="9"/>
  <c r="R181" i="9"/>
  <c r="Q181" i="9"/>
  <c r="P181" i="9"/>
  <c r="O181" i="9"/>
  <c r="N181" i="9"/>
  <c r="H181" i="9"/>
  <c r="I181" i="9" s="1"/>
  <c r="S180" i="9"/>
  <c r="R180" i="9"/>
  <c r="Q180" i="9"/>
  <c r="P180" i="9"/>
  <c r="O180" i="9"/>
  <c r="N180" i="9"/>
  <c r="H180" i="9"/>
  <c r="I180" i="9" s="1"/>
  <c r="S179" i="9"/>
  <c r="R179" i="9"/>
  <c r="Q179" i="9"/>
  <c r="P179" i="9"/>
  <c r="O179" i="9"/>
  <c r="N179" i="9"/>
  <c r="H179" i="9"/>
  <c r="I179" i="9" s="1"/>
  <c r="S178" i="9"/>
  <c r="R178" i="9"/>
  <c r="Q178" i="9"/>
  <c r="P178" i="9"/>
  <c r="O178" i="9"/>
  <c r="N178" i="9"/>
  <c r="H178" i="9"/>
  <c r="I178" i="9" s="1"/>
  <c r="S177" i="9"/>
  <c r="R177" i="9"/>
  <c r="Q177" i="9"/>
  <c r="P177" i="9"/>
  <c r="O177" i="9"/>
  <c r="N177" i="9"/>
  <c r="H177" i="9"/>
  <c r="I177" i="9" s="1"/>
  <c r="S176" i="9"/>
  <c r="R176" i="9"/>
  <c r="Q176" i="9"/>
  <c r="P176" i="9"/>
  <c r="O176" i="9"/>
  <c r="N176" i="9"/>
  <c r="H176" i="9"/>
  <c r="I176" i="9" s="1"/>
  <c r="S175" i="9"/>
  <c r="R175" i="9"/>
  <c r="Q175" i="9"/>
  <c r="P175" i="9"/>
  <c r="O175" i="9"/>
  <c r="O193" i="9" s="1"/>
  <c r="N175" i="9"/>
  <c r="N193" i="9" s="1"/>
  <c r="H175" i="9"/>
  <c r="I175" i="9" s="1"/>
  <c r="H172" i="9"/>
  <c r="H171" i="9"/>
  <c r="H170" i="9"/>
  <c r="H168" i="9"/>
  <c r="H161" i="9"/>
  <c r="H160" i="9"/>
  <c r="H159" i="9"/>
  <c r="H139" i="9"/>
  <c r="G115" i="9"/>
  <c r="H110" i="9"/>
  <c r="H109" i="9"/>
  <c r="H84" i="9"/>
  <c r="H81" i="9"/>
  <c r="H66" i="9"/>
  <c r="H61" i="9"/>
  <c r="H60" i="9"/>
  <c r="H59" i="9"/>
  <c r="H57" i="9"/>
  <c r="H56" i="9"/>
  <c r="H55" i="9"/>
  <c r="H51" i="9"/>
  <c r="H50" i="9"/>
  <c r="H49" i="9"/>
  <c r="H46" i="9"/>
  <c r="H44" i="9"/>
  <c r="G41" i="9"/>
  <c r="H37" i="9"/>
  <c r="H32" i="9"/>
  <c r="H31" i="9"/>
  <c r="H30" i="9"/>
  <c r="H28" i="9"/>
  <c r="H27" i="9"/>
  <c r="H26" i="9"/>
  <c r="H24" i="9"/>
  <c r="H23" i="9"/>
  <c r="H22" i="9"/>
  <c r="H19" i="9"/>
  <c r="H17" i="9"/>
  <c r="G17" i="9"/>
  <c r="G173" i="9" s="1"/>
  <c r="F17" i="9"/>
  <c r="G16" i="9"/>
  <c r="H16" i="9" s="1"/>
  <c r="F16" i="9"/>
  <c r="H15" i="9"/>
  <c r="F15" i="9"/>
  <c r="H14" i="9"/>
  <c r="F14" i="9"/>
  <c r="F173" i="9" s="1"/>
  <c r="I196" i="13"/>
  <c r="J196" i="13" s="1"/>
  <c r="O193" i="13"/>
  <c r="S191" i="13"/>
  <c r="T191" i="13" s="1"/>
  <c r="R191" i="13"/>
  <c r="Q191" i="13"/>
  <c r="P191" i="13"/>
  <c r="O191" i="13"/>
  <c r="S190" i="13"/>
  <c r="T190" i="13" s="1"/>
  <c r="R190" i="13"/>
  <c r="Q190" i="13"/>
  <c r="P190" i="13"/>
  <c r="O190" i="13"/>
  <c r="I190" i="13"/>
  <c r="J190" i="13" s="1"/>
  <c r="S189" i="13"/>
  <c r="T189" i="13" s="1"/>
  <c r="R189" i="13"/>
  <c r="Q189" i="13"/>
  <c r="P189" i="13"/>
  <c r="O189" i="13"/>
  <c r="S188" i="13"/>
  <c r="T188" i="13" s="1"/>
  <c r="R188" i="13"/>
  <c r="Q188" i="13"/>
  <c r="P188" i="13"/>
  <c r="O188" i="13"/>
  <c r="S187" i="13"/>
  <c r="T187" i="13" s="1"/>
  <c r="R187" i="13"/>
  <c r="Q187" i="13"/>
  <c r="P187" i="13"/>
  <c r="O187" i="13"/>
  <c r="R186" i="13"/>
  <c r="Q186" i="13"/>
  <c r="P186" i="13"/>
  <c r="O186" i="13"/>
  <c r="I186" i="13"/>
  <c r="J186" i="13" s="1"/>
  <c r="S185" i="13"/>
  <c r="T185" i="13" s="1"/>
  <c r="R185" i="13"/>
  <c r="Q185" i="13"/>
  <c r="P185" i="13"/>
  <c r="O185" i="13"/>
  <c r="J185" i="13"/>
  <c r="S184" i="13"/>
  <c r="T184" i="13" s="1"/>
  <c r="R184" i="13"/>
  <c r="Q184" i="13"/>
  <c r="K184" i="13"/>
  <c r="P184" i="13" s="1"/>
  <c r="H184" i="13"/>
  <c r="O184" i="13" s="1"/>
  <c r="S183" i="13"/>
  <c r="T183" i="13" s="1"/>
  <c r="R183" i="13"/>
  <c r="Q183" i="13"/>
  <c r="P183" i="13"/>
  <c r="O183" i="13"/>
  <c r="S182" i="13"/>
  <c r="T182" i="13" s="1"/>
  <c r="R182" i="13"/>
  <c r="Q182" i="13"/>
  <c r="P182" i="13"/>
  <c r="O182" i="13"/>
  <c r="I182" i="13"/>
  <c r="J182" i="13" s="1"/>
  <c r="S181" i="13"/>
  <c r="T181" i="13" s="1"/>
  <c r="R181" i="13"/>
  <c r="Q181" i="13"/>
  <c r="P181" i="13"/>
  <c r="O181" i="13"/>
  <c r="I181" i="13"/>
  <c r="J181" i="13" s="1"/>
  <c r="R180" i="13"/>
  <c r="Q180" i="13"/>
  <c r="P180" i="13"/>
  <c r="O180" i="13"/>
  <c r="I180" i="13"/>
  <c r="S180" i="13" s="1"/>
  <c r="T180" i="13" s="1"/>
  <c r="R179" i="13"/>
  <c r="Q179" i="13"/>
  <c r="P179" i="13"/>
  <c r="O179" i="13"/>
  <c r="I179" i="13"/>
  <c r="S179" i="13" s="1"/>
  <c r="T179" i="13" s="1"/>
  <c r="S178" i="13"/>
  <c r="T178" i="13" s="1"/>
  <c r="R178" i="13"/>
  <c r="Q178" i="13"/>
  <c r="P178" i="13"/>
  <c r="O178" i="13"/>
  <c r="I178" i="13"/>
  <c r="J178" i="13" s="1"/>
  <c r="S177" i="13"/>
  <c r="T177" i="13" s="1"/>
  <c r="R177" i="13"/>
  <c r="Q177" i="13"/>
  <c r="P177" i="13"/>
  <c r="O177" i="13"/>
  <c r="I177" i="13"/>
  <c r="J177" i="13" s="1"/>
  <c r="R176" i="13"/>
  <c r="Q176" i="13"/>
  <c r="P176" i="13"/>
  <c r="O176" i="13"/>
  <c r="I176" i="13"/>
  <c r="J176" i="13" s="1"/>
  <c r="R175" i="13"/>
  <c r="Q175" i="13"/>
  <c r="P175" i="13"/>
  <c r="O175" i="13"/>
  <c r="I175" i="13"/>
  <c r="S175" i="13" s="1"/>
  <c r="T175" i="13" s="1"/>
  <c r="S174" i="13"/>
  <c r="R174" i="13"/>
  <c r="Q174" i="13"/>
  <c r="P174" i="13"/>
  <c r="O174" i="13"/>
  <c r="I174" i="13"/>
  <c r="J174" i="13" s="1"/>
  <c r="I171" i="13"/>
  <c r="I170" i="13"/>
  <c r="I169" i="13"/>
  <c r="I167" i="13"/>
  <c r="I160" i="13"/>
  <c r="I159" i="13"/>
  <c r="I158" i="13"/>
  <c r="I138" i="13"/>
  <c r="H114" i="13"/>
  <c r="I109" i="13"/>
  <c r="I108" i="13"/>
  <c r="I83" i="13"/>
  <c r="I80" i="13"/>
  <c r="I65" i="13"/>
  <c r="I60" i="13"/>
  <c r="I59" i="13"/>
  <c r="I58" i="13"/>
  <c r="I56" i="13"/>
  <c r="I55" i="13"/>
  <c r="I54" i="13"/>
  <c r="I50" i="13"/>
  <c r="I48" i="13"/>
  <c r="I47" i="13"/>
  <c r="I44" i="13"/>
  <c r="I42" i="13"/>
  <c r="H39" i="13"/>
  <c r="I35" i="13"/>
  <c r="I30" i="13"/>
  <c r="I29" i="13"/>
  <c r="I28" i="13"/>
  <c r="I26" i="13"/>
  <c r="I25" i="13"/>
  <c r="I24" i="13"/>
  <c r="I22" i="13"/>
  <c r="I21" i="13"/>
  <c r="I20" i="13"/>
  <c r="I17" i="13"/>
  <c r="H16" i="13"/>
  <c r="I16" i="13" s="1"/>
  <c r="G16" i="13"/>
  <c r="H15" i="13"/>
  <c r="I15" i="13" s="1"/>
  <c r="G15" i="13"/>
  <c r="I14" i="13"/>
  <c r="G14" i="13"/>
  <c r="H193" i="12"/>
  <c r="I193" i="12" s="1"/>
  <c r="N190" i="12"/>
  <c r="S188" i="12"/>
  <c r="R188" i="12"/>
  <c r="Q188" i="12"/>
  <c r="P188" i="12"/>
  <c r="O188" i="12"/>
  <c r="N188" i="12"/>
  <c r="R187" i="12"/>
  <c r="S187" i="12" s="1"/>
  <c r="Q187" i="12"/>
  <c r="P187" i="12"/>
  <c r="O187" i="12"/>
  <c r="N187" i="12"/>
  <c r="H187" i="12"/>
  <c r="I187" i="12" s="1"/>
  <c r="R186" i="12"/>
  <c r="S186" i="12" s="1"/>
  <c r="Q186" i="12"/>
  <c r="P186" i="12"/>
  <c r="O186" i="12"/>
  <c r="N186" i="12"/>
  <c r="R185" i="12"/>
  <c r="S185" i="12" s="1"/>
  <c r="Q185" i="12"/>
  <c r="P185" i="12"/>
  <c r="O185" i="12"/>
  <c r="N185" i="12"/>
  <c r="R184" i="12"/>
  <c r="S184" i="12" s="1"/>
  <c r="Q184" i="12"/>
  <c r="P184" i="12"/>
  <c r="O184" i="12"/>
  <c r="N184" i="12"/>
  <c r="Q183" i="12"/>
  <c r="P183" i="12"/>
  <c r="O183" i="12"/>
  <c r="N183" i="12"/>
  <c r="H183" i="12"/>
  <c r="I183" i="12" s="1"/>
  <c r="R182" i="12"/>
  <c r="S182" i="12" s="1"/>
  <c r="Q182" i="12"/>
  <c r="P182" i="12"/>
  <c r="O182" i="12"/>
  <c r="N182" i="12"/>
  <c r="I182" i="12"/>
  <c r="R181" i="12"/>
  <c r="S181" i="12" s="1"/>
  <c r="Q181" i="12"/>
  <c r="P181" i="12"/>
  <c r="J181" i="12"/>
  <c r="O181" i="12" s="1"/>
  <c r="G181" i="12"/>
  <c r="N181" i="12" s="1"/>
  <c r="N189" i="12" s="1"/>
  <c r="R180" i="12"/>
  <c r="S180" i="12" s="1"/>
  <c r="Q180" i="12"/>
  <c r="P180" i="12"/>
  <c r="O180" i="12"/>
  <c r="N180" i="12"/>
  <c r="R179" i="12"/>
  <c r="S179" i="12" s="1"/>
  <c r="Q179" i="12"/>
  <c r="P179" i="12"/>
  <c r="O179" i="12"/>
  <c r="N179" i="12"/>
  <c r="H179" i="12"/>
  <c r="I179" i="12" s="1"/>
  <c r="R178" i="12"/>
  <c r="S178" i="12" s="1"/>
  <c r="Q178" i="12"/>
  <c r="P178" i="12"/>
  <c r="O178" i="12"/>
  <c r="N178" i="12"/>
  <c r="H178" i="12"/>
  <c r="I178" i="12" s="1"/>
  <c r="R177" i="12"/>
  <c r="S177" i="12" s="1"/>
  <c r="Q177" i="12"/>
  <c r="P177" i="12"/>
  <c r="O177" i="12"/>
  <c r="N177" i="12"/>
  <c r="H177" i="12"/>
  <c r="I177" i="12" s="1"/>
  <c r="R176" i="12"/>
  <c r="S176" i="12" s="1"/>
  <c r="Q176" i="12"/>
  <c r="P176" i="12"/>
  <c r="O176" i="12"/>
  <c r="N176" i="12"/>
  <c r="H176" i="12"/>
  <c r="I176" i="12" s="1"/>
  <c r="R175" i="12"/>
  <c r="S175" i="12" s="1"/>
  <c r="Q175" i="12"/>
  <c r="P175" i="12"/>
  <c r="O175" i="12"/>
  <c r="N175" i="12"/>
  <c r="H175" i="12"/>
  <c r="I175" i="12" s="1"/>
  <c r="R174" i="12"/>
  <c r="S174" i="12" s="1"/>
  <c r="Q174" i="12"/>
  <c r="P174" i="12"/>
  <c r="O174" i="12"/>
  <c r="N174" i="12"/>
  <c r="H174" i="12"/>
  <c r="I174" i="12" s="1"/>
  <c r="R173" i="12"/>
  <c r="S173" i="12" s="1"/>
  <c r="Q173" i="12"/>
  <c r="P173" i="12"/>
  <c r="O173" i="12"/>
  <c r="N173" i="12"/>
  <c r="H173" i="12"/>
  <c r="I173" i="12" s="1"/>
  <c r="R172" i="12"/>
  <c r="S172" i="12" s="1"/>
  <c r="Q172" i="12"/>
  <c r="P172" i="12"/>
  <c r="O172" i="12"/>
  <c r="N172" i="12"/>
  <c r="H172" i="12"/>
  <c r="I172" i="12" s="1"/>
  <c r="R171" i="12"/>
  <c r="R189" i="12" s="1"/>
  <c r="Q171" i="12"/>
  <c r="Q189" i="12" s="1"/>
  <c r="P171" i="12"/>
  <c r="P189" i="12" s="1"/>
  <c r="O171" i="12"/>
  <c r="O189" i="12" s="1"/>
  <c r="N171" i="12"/>
  <c r="H171" i="12"/>
  <c r="I171" i="12" s="1"/>
  <c r="H168" i="12"/>
  <c r="H167" i="12"/>
  <c r="H166" i="12"/>
  <c r="H164" i="12"/>
  <c r="H157" i="12"/>
  <c r="H156" i="12"/>
  <c r="H155" i="12"/>
  <c r="H135" i="12"/>
  <c r="G111" i="12"/>
  <c r="H106" i="12"/>
  <c r="H105" i="12"/>
  <c r="H80" i="12"/>
  <c r="H77" i="12"/>
  <c r="H64" i="12"/>
  <c r="H59" i="12"/>
  <c r="H58" i="12"/>
  <c r="H57" i="12"/>
  <c r="H55" i="12"/>
  <c r="H54" i="12"/>
  <c r="H53" i="12"/>
  <c r="H49" i="12"/>
  <c r="H48" i="12"/>
  <c r="H47" i="12"/>
  <c r="H44" i="12"/>
  <c r="H42" i="12"/>
  <c r="G39" i="12"/>
  <c r="H35" i="12"/>
  <c r="H30" i="12"/>
  <c r="H29" i="12"/>
  <c r="H28" i="12"/>
  <c r="H26" i="12"/>
  <c r="H25" i="12"/>
  <c r="H24" i="12"/>
  <c r="H22" i="12"/>
  <c r="H21" i="12"/>
  <c r="H20" i="12"/>
  <c r="H19" i="12"/>
  <c r="G17" i="12"/>
  <c r="H17" i="12" s="1"/>
  <c r="F17" i="12"/>
  <c r="F169" i="12" s="1"/>
  <c r="G16" i="12"/>
  <c r="H16" i="12" s="1"/>
  <c r="F16" i="12"/>
  <c r="H15" i="12"/>
  <c r="F15" i="12"/>
  <c r="H14" i="12"/>
  <c r="F14" i="12"/>
  <c r="S182" i="15" l="1"/>
  <c r="T182" i="15" s="1"/>
  <c r="G164" i="15"/>
  <c r="J176" i="15"/>
  <c r="I164" i="15"/>
  <c r="P184" i="15"/>
  <c r="Q184" i="15"/>
  <c r="R184" i="15"/>
  <c r="O184" i="15"/>
  <c r="H164" i="15"/>
  <c r="S166" i="15"/>
  <c r="S167" i="15"/>
  <c r="T167" i="15" s="1"/>
  <c r="S168" i="15"/>
  <c r="T168" i="15" s="1"/>
  <c r="S169" i="15"/>
  <c r="T169" i="15" s="1"/>
  <c r="S170" i="15"/>
  <c r="T170" i="15" s="1"/>
  <c r="S171" i="15"/>
  <c r="T171" i="15" s="1"/>
  <c r="S172" i="15"/>
  <c r="T172" i="15" s="1"/>
  <c r="S173" i="15"/>
  <c r="T173" i="15" s="1"/>
  <c r="S174" i="15"/>
  <c r="T174" i="15" s="1"/>
  <c r="S101" i="14"/>
  <c r="T101" i="14" s="1"/>
  <c r="S94" i="14"/>
  <c r="J99" i="14"/>
  <c r="S102" i="14"/>
  <c r="T102" i="14" s="1"/>
  <c r="S96" i="14"/>
  <c r="T96" i="14" s="1"/>
  <c r="S100" i="14"/>
  <c r="T100" i="14" s="1"/>
  <c r="Q112" i="14"/>
  <c r="S95" i="14"/>
  <c r="T95" i="14" s="1"/>
  <c r="S110" i="14"/>
  <c r="T110" i="14" s="1"/>
  <c r="S98" i="14"/>
  <c r="T98" i="14" s="1"/>
  <c r="R112" i="14"/>
  <c r="J97" i="14"/>
  <c r="P112" i="14"/>
  <c r="O112" i="14"/>
  <c r="I12" i="14"/>
  <c r="T94" i="14"/>
  <c r="J104" i="14"/>
  <c r="G172" i="13"/>
  <c r="J175" i="13"/>
  <c r="S176" i="13"/>
  <c r="T176" i="13" s="1"/>
  <c r="J180" i="13"/>
  <c r="O192" i="13"/>
  <c r="J179" i="13"/>
  <c r="R192" i="13"/>
  <c r="S192" i="13"/>
  <c r="P192" i="13"/>
  <c r="Q192" i="13"/>
  <c r="P11" i="1"/>
  <c r="O2" i="1"/>
  <c r="H173" i="9"/>
  <c r="H169" i="12"/>
  <c r="I172" i="13"/>
  <c r="R193" i="9"/>
  <c r="S193" i="9"/>
  <c r="E74" i="5"/>
  <c r="E2" i="5" s="1"/>
  <c r="D42" i="1"/>
  <c r="H172" i="13"/>
  <c r="G169" i="12"/>
  <c r="T174" i="13"/>
  <c r="T192" i="13" s="1"/>
  <c r="J184" i="13"/>
  <c r="P22" i="1"/>
  <c r="S171" i="12"/>
  <c r="S189" i="12" s="1"/>
  <c r="I181" i="12"/>
  <c r="N11" i="1"/>
  <c r="S184" i="15" l="1"/>
  <c r="T166" i="15"/>
  <c r="T184" i="15" s="1"/>
  <c r="T112" i="14"/>
  <c r="S112" i="14"/>
  <c r="G127" i="7"/>
  <c r="F127" i="7"/>
  <c r="F41" i="7"/>
  <c r="G41" i="7"/>
  <c r="G46" i="7"/>
  <c r="F46" i="7"/>
  <c r="G82" i="7"/>
  <c r="F82" i="7"/>
</calcChain>
</file>

<file path=xl/sharedStrings.xml><?xml version="1.0" encoding="utf-8"?>
<sst xmlns="http://schemas.openxmlformats.org/spreadsheetml/2006/main" count="2905" uniqueCount="676">
  <si>
    <t>Matt</t>
  </si>
  <si>
    <t>Shelby</t>
  </si>
  <si>
    <t>Item</t>
  </si>
  <si>
    <t>Price</t>
  </si>
  <si>
    <t>Comments</t>
  </si>
  <si>
    <t>Head lamp</t>
  </si>
  <si>
    <t>Echo Ion XL 9’ 8wt</t>
  </si>
  <si>
    <t>Redington Bohimeth 7/8</t>
  </si>
  <si>
    <t>Fly line for reds</t>
  </si>
  <si>
    <t>Fly kit for salmon</t>
  </si>
  <si>
    <t>Hooks for salmon</t>
  </si>
  <si>
    <t>Leaders</t>
  </si>
  <si>
    <t>Crimp on weights</t>
  </si>
  <si>
    <t>Yard box</t>
  </si>
  <si>
    <t>Sling/vest tackle box</t>
  </si>
  <si>
    <t>Small scissors</t>
  </si>
  <si>
    <t>Travel rod case</t>
  </si>
  <si>
    <t>Net for salmon</t>
  </si>
  <si>
    <t>Line to string caught fish</t>
  </si>
  <si>
    <t>30L dry back for equipment</t>
  </si>
  <si>
    <t>.300 Win Mag- Fierce Carbon Fury</t>
  </si>
  <si>
    <t>Swarkosi 4x14</t>
  </si>
  <si>
    <t>Badlands, Mystrey Ranch, Alps Extreme Hypryid X, Kuiu</t>
  </si>
  <si>
    <t>Knife to skin</t>
  </si>
  <si>
    <t>Sitka heavy beanie</t>
  </si>
  <si>
    <t>ATV (Borrow?)</t>
  </si>
  <si>
    <t>Tri pod for gun</t>
  </si>
  <si>
    <t>Binoculars w/ range finder</t>
  </si>
  <si>
    <t>Water proof 50Lluggage bag</t>
  </si>
  <si>
    <t>SOS insurance</t>
  </si>
  <si>
    <t>Spotting scope</t>
  </si>
  <si>
    <t>Tri pod for spotting scope</t>
  </si>
  <si>
    <t>1 dozen mallard</t>
  </si>
  <si>
    <t>1/2 Canadian geese decoys</t>
  </si>
  <si>
    <t>MoMarsh Invis-lay out blind</t>
  </si>
  <si>
    <t>Jet boat?</t>
  </si>
  <si>
    <t>ATV?</t>
  </si>
  <si>
    <t>LifeMed</t>
  </si>
  <si>
    <t>Use dad's</t>
  </si>
  <si>
    <t>KUIU Icon Pro 2200 Bag</t>
  </si>
  <si>
    <t>KUIU Icon Pro Suspension</t>
  </si>
  <si>
    <t>KUIU Pack Rain cover</t>
  </si>
  <si>
    <t>KUIU Hip Belt Puch Set</t>
  </si>
  <si>
    <t>Weight (oz)</t>
  </si>
  <si>
    <t>weight (lb)</t>
  </si>
  <si>
    <t>Vortex Fury HD 10*42 Rangefinding Binoculars</t>
  </si>
  <si>
    <t>Tripod for binoculars</t>
  </si>
  <si>
    <t>Binocular attachement for tripod</t>
  </si>
  <si>
    <t>Vortex Universal Binocular Tripod Adapter</t>
  </si>
  <si>
    <t>Vortex® High Country Tripod</t>
  </si>
  <si>
    <t>Cabela's Alaskan Guide® Series Alpha Fixed Knife by Buck Knives®</t>
  </si>
  <si>
    <t>Jacket for hiking</t>
  </si>
  <si>
    <t>Brushpants for hiking</t>
  </si>
  <si>
    <t>Under layer to keep warmth on top</t>
  </si>
  <si>
    <t>Rain Jacket</t>
  </si>
  <si>
    <t>Rain bottoms</t>
  </si>
  <si>
    <t>Hiking gloves</t>
  </si>
  <si>
    <t>Waterproof gloves</t>
  </si>
  <si>
    <t>Already have</t>
  </si>
  <si>
    <t>yes</t>
  </si>
  <si>
    <t>First Lite- MEN'S CORRUGATE GUIDE JACKET</t>
  </si>
  <si>
    <t>First Lite MEN'S SAWBUCK BRUSH PANT</t>
  </si>
  <si>
    <t>First Lite- BOUNDARY STORMTIGHT PANT</t>
  </si>
  <si>
    <t>First Lite-VAPOR STORMLIGHT ULTRALIGHT RAIN JACKET</t>
  </si>
  <si>
    <t>KUIU Icon Pro 5200</t>
  </si>
  <si>
    <t>MiniMo Jet boil</t>
  </si>
  <si>
    <t>Frontiersman Bear Food Container</t>
  </si>
  <si>
    <t>Jet Boil 100g containers</t>
  </si>
  <si>
    <t>Garmin InReach Mini</t>
  </si>
  <si>
    <t>Sea to Summit Compression Dry bag 30L</t>
  </si>
  <si>
    <t>Total</t>
  </si>
  <si>
    <t>Sea to Summit Premium Pillow</t>
  </si>
  <si>
    <t>PMI Utility Cord 50ft</t>
  </si>
  <si>
    <t>REI Co-Op Camp Dome 4 Footprint</t>
  </si>
  <si>
    <t>REI Co-Op Camp Half Dome 4</t>
  </si>
  <si>
    <t>NEMO Tensor Insulated Sleeping Pad</t>
  </si>
  <si>
    <t>KUIU Large Rain Cover</t>
  </si>
  <si>
    <t>KUIU Hip Belt Patches</t>
  </si>
  <si>
    <t>Repair tent kit</t>
  </si>
  <si>
    <t>First Lite Corrugate Guide Jacket</t>
  </si>
  <si>
    <t>First Lite Boundary Stormlight Pant</t>
  </si>
  <si>
    <t>MSR WindBurner Accessory Skillet 1.4L</t>
  </si>
  <si>
    <t>KUHL Renegade Convertible Pants</t>
  </si>
  <si>
    <t>Leatherman Skeletol CX</t>
  </si>
  <si>
    <t>Osprey 2.5L Bladder</t>
  </si>
  <si>
    <t>Black Diamond Storm 375 Headlamp</t>
  </si>
  <si>
    <t>Alaskan Backpacker .44mag</t>
  </si>
  <si>
    <t>.44mag chest holder</t>
  </si>
  <si>
    <t>6x305 grain bear load .44mag</t>
  </si>
  <si>
    <t>Ruffwear Approach Dog Pack M - Ellie</t>
  </si>
  <si>
    <t>Ruffwear Approach Dog Pack L - Wrigley</t>
  </si>
  <si>
    <t>Wrigley</t>
  </si>
  <si>
    <t>Ellie</t>
  </si>
  <si>
    <t>Purina 26/16 7.9oz for 2 cups</t>
  </si>
  <si>
    <t>Ruffwear Quencher Dog Bowl</t>
  </si>
  <si>
    <t>Ruffwear Quencher Bowl</t>
  </si>
  <si>
    <t>Alp Engineering Foam Pad 77x25x15 ounce</t>
  </si>
  <si>
    <t>Hydrapak Stow 1L</t>
  </si>
  <si>
    <t>1L of water</t>
  </si>
  <si>
    <t>Gear</t>
  </si>
  <si>
    <t>Sea to Summit Alpha 2 person cook set
2 cups/2kuzzies/2bowls/1.9L Pot/Lid</t>
  </si>
  <si>
    <t>% of Body Weight</t>
  </si>
  <si>
    <t>Food</t>
  </si>
  <si>
    <t>6 eggs</t>
  </si>
  <si>
    <t>1 meal dinner Matt</t>
  </si>
  <si>
    <t>1 meal dinner Mark</t>
  </si>
  <si>
    <t>1 Lunch Mark</t>
  </si>
  <si>
    <t>1 Lunch Matt</t>
  </si>
  <si>
    <t>Total Weight</t>
  </si>
  <si>
    <t>Ankle pain pills</t>
  </si>
  <si>
    <t>Ankle Brace</t>
  </si>
  <si>
    <t>REI Magma 15 sleeping bag</t>
  </si>
  <si>
    <t>Eddie Bauer Rain Jacket Cloud Cap 2.0</t>
  </si>
  <si>
    <t>Paper Crows pass map</t>
  </si>
  <si>
    <t>Vasque Breeze III Mid GTX Hiking boots</t>
  </si>
  <si>
    <t>Columbia hiking socks 2 pair</t>
  </si>
  <si>
    <t>Sea to Summit 3-Piece Cutlery 2 person</t>
  </si>
  <si>
    <t>Katadyn Gravity Water Filter- 6L</t>
  </si>
  <si>
    <t>Marmot PreCip Rain Pants</t>
  </si>
  <si>
    <t>Toilet paper</t>
  </si>
  <si>
    <t>Hiking poles</t>
  </si>
  <si>
    <t>Packed</t>
  </si>
  <si>
    <t>X</t>
  </si>
  <si>
    <t>KUIU Icon Pro 2200</t>
  </si>
  <si>
    <t>Tikka T3x Superlite .300 Wing Mag</t>
  </si>
  <si>
    <t>.300win mag x 10</t>
  </si>
  <si>
    <t>Swaroviski z5 3.5x18</t>
  </si>
  <si>
    <t>Game bags</t>
  </si>
  <si>
    <t>Thermus</t>
  </si>
  <si>
    <t>Cooler</t>
  </si>
  <si>
    <t>Earplugs</t>
  </si>
  <si>
    <t>Snacks</t>
  </si>
  <si>
    <t>Emergancy meals?</t>
  </si>
  <si>
    <t>Dry bag</t>
  </si>
  <si>
    <t>Binoculars</t>
  </si>
  <si>
    <t>Battery brick</t>
  </si>
  <si>
    <t>Glacier gloves</t>
  </si>
  <si>
    <t>Fishing waders</t>
  </si>
  <si>
    <t>Simms boats</t>
  </si>
  <si>
    <t>Sun screen</t>
  </si>
  <si>
    <t>Contacts</t>
  </si>
  <si>
    <t>Lighter</t>
  </si>
  <si>
    <t>Skinning knife</t>
  </si>
  <si>
    <t>Extra skinning blades</t>
  </si>
  <si>
    <t>Chap stick</t>
  </si>
  <si>
    <t>Strap</t>
  </si>
  <si>
    <t>BoreSnake .300</t>
  </si>
  <si>
    <t>Survival/First aid kit</t>
  </si>
  <si>
    <t>Stefan</t>
  </si>
  <si>
    <t>First Lite Seak Rain Jacket</t>
  </si>
  <si>
    <t>Kuiu  Guide Pants</t>
  </si>
  <si>
    <t>Kuiu Attack Jacket</t>
  </si>
  <si>
    <t>First Lite Seak Rain Pants</t>
  </si>
  <si>
    <t>Life vest</t>
  </si>
  <si>
    <t>Beer</t>
  </si>
  <si>
    <t>License</t>
  </si>
  <si>
    <t>Bear Permits</t>
  </si>
  <si>
    <t>x</t>
  </si>
  <si>
    <t>Trash bags</t>
  </si>
  <si>
    <t>Tent</t>
  </si>
  <si>
    <t>Footprint</t>
  </si>
  <si>
    <t>Rain Cover</t>
  </si>
  <si>
    <t>Hip waders</t>
  </si>
  <si>
    <t xml:space="preserve">X </t>
  </si>
  <si>
    <t>Sheep Hunt Tag</t>
  </si>
  <si>
    <t>Hunting License</t>
  </si>
  <si>
    <t>.300win mag x 20</t>
  </si>
  <si>
    <t>?</t>
  </si>
  <si>
    <t>Sheep Hunting Pack</t>
  </si>
  <si>
    <t>Boat/Trailer Equipment</t>
  </si>
  <si>
    <t>2 Spare Tires</t>
  </si>
  <si>
    <t>Oil Filter</t>
  </si>
  <si>
    <t>Fuel Pump</t>
  </si>
  <si>
    <t>Fuel Filter</t>
  </si>
  <si>
    <t>1 gallon extra 2 Stroke Oil</t>
  </si>
  <si>
    <t>Tool set</t>
  </si>
  <si>
    <t>2x long oars</t>
  </si>
  <si>
    <t>Need to buy</t>
  </si>
  <si>
    <t>Ear plugs x2</t>
  </si>
  <si>
    <t>2x Game trashbags</t>
  </si>
  <si>
    <t>Butcher Knife</t>
  </si>
  <si>
    <t>Lighterx2</t>
  </si>
  <si>
    <t>Need to build</t>
  </si>
  <si>
    <t>Meds</t>
  </si>
  <si>
    <t>Tarp (use hiking poles)</t>
  </si>
  <si>
    <t>Pack Raft Option</t>
  </si>
  <si>
    <t>Equipment Leave in Boat</t>
  </si>
  <si>
    <t>Clothing</t>
  </si>
  <si>
    <t>Hiking shirt (long-sleeved)</t>
  </si>
  <si>
    <t>Hiking boots</t>
  </si>
  <si>
    <t>boot inserts</t>
  </si>
  <si>
    <t>Hiking socks</t>
  </si>
  <si>
    <t>Fleece pullover</t>
  </si>
  <si>
    <t>Down jacket</t>
  </si>
  <si>
    <t>Waterproof shell jacket</t>
  </si>
  <si>
    <t>Waterproof shell pants</t>
  </si>
  <si>
    <t>Winter cap</t>
  </si>
  <si>
    <t>Head Lamp</t>
  </si>
  <si>
    <t>Sunglasses &amp; hard case</t>
  </si>
  <si>
    <t>Hiking hat</t>
  </si>
  <si>
    <t>Underwear</t>
  </si>
  <si>
    <t>Qty</t>
  </si>
  <si>
    <t>Brand</t>
  </si>
  <si>
    <t>Semi Waterproof Jacket</t>
  </si>
  <si>
    <t>tooth paste</t>
  </si>
  <si>
    <t>Wilderness wipes</t>
  </si>
  <si>
    <t>Water Idoion Tablets</t>
  </si>
  <si>
    <t>Hydration bladder</t>
  </si>
  <si>
    <t>Portable 1L hydration pack</t>
  </si>
  <si>
    <t>Electolight tablets</t>
  </si>
  <si>
    <t>Colmbia Black jacket</t>
  </si>
  <si>
    <t>Brush Gloves</t>
  </si>
  <si>
    <t>Warm gloves</t>
  </si>
  <si>
    <t>Tube dry bag</t>
  </si>
  <si>
    <t>Patch kit</t>
  </si>
  <si>
    <t>Oars</t>
  </si>
  <si>
    <t>Sleeping bag</t>
  </si>
  <si>
    <t>Pillow</t>
  </si>
  <si>
    <t>Sleeping Pad</t>
  </si>
  <si>
    <t>Dry bag for sleep stuff</t>
  </si>
  <si>
    <t>Gun</t>
  </si>
  <si>
    <t>Scope</t>
  </si>
  <si>
    <t>Ammo</t>
  </si>
  <si>
    <t>Vortex Diamondback HS 8 x32 Roof Prism</t>
  </si>
  <si>
    <t>Need to get new</t>
  </si>
  <si>
    <t>Utensil</t>
  </si>
  <si>
    <t>Toaks Titanium Folding Spork</t>
  </si>
  <si>
    <t>Cup</t>
  </si>
  <si>
    <t>Taoks Titanium single wall 450ml</t>
  </si>
  <si>
    <t>Stove/Hot water source</t>
  </si>
  <si>
    <t>Stove/Hot water source fuel</t>
  </si>
  <si>
    <t>Hand Sanitzer</t>
  </si>
  <si>
    <t>Mount Hardwear Compressor Pant</t>
  </si>
  <si>
    <t>Down pants</t>
  </si>
  <si>
    <t>ExOfficio Give-N-Go 2.0</t>
  </si>
  <si>
    <t>Superfeet Copper Comprt and support</t>
  </si>
  <si>
    <t>Therma Btm</t>
  </si>
  <si>
    <t>Kuiu Axis Jacket</t>
  </si>
  <si>
    <t>Kuiu Attack Glove</t>
  </si>
  <si>
    <t>Kuiu Expedition</t>
  </si>
  <si>
    <t>Ray Ban Polarized</t>
  </si>
  <si>
    <t>Hiking pants</t>
  </si>
  <si>
    <t>Guide or Attack Pant</t>
  </si>
  <si>
    <t>Back Up Hiking Pant</t>
  </si>
  <si>
    <t>Portable 2L hydration bag</t>
  </si>
  <si>
    <t>Emergancy Bivy</t>
  </si>
  <si>
    <t>Sol Emergency Bivy XL</t>
  </si>
  <si>
    <t>Ultra Merino 145 Zip-Off Btms</t>
  </si>
  <si>
    <t>Kuiu Peloton 200 Zip T</t>
  </si>
  <si>
    <t>Kuiu Enduro LS Crew</t>
  </si>
  <si>
    <t>Dry Bags</t>
  </si>
  <si>
    <t>Kuiu Zip Dry Bags</t>
  </si>
  <si>
    <t>Sitka Blizzard Beanie Optifad Open Country</t>
  </si>
  <si>
    <t>Kuiu Retro Green Logo hat</t>
  </si>
  <si>
    <t>Camp face mask to sleep</t>
  </si>
  <si>
    <t>Dry Bag Food</t>
  </si>
  <si>
    <t>Dry Bag Clothes</t>
  </si>
  <si>
    <t>Dry bag food</t>
  </si>
  <si>
    <t>Seaa to Summit 20L</t>
  </si>
  <si>
    <t>Shovel</t>
  </si>
  <si>
    <t>Chain saw</t>
  </si>
  <si>
    <t>2x 15 gallon gas cans</t>
  </si>
  <si>
    <t>5x 5 gallon cans</t>
  </si>
  <si>
    <t>Quicksilver 2 bottle</t>
  </si>
  <si>
    <t>Pulley</t>
  </si>
  <si>
    <t>Come a long</t>
  </si>
  <si>
    <t>Rope</t>
  </si>
  <si>
    <t>Battery to starter Starter</t>
  </si>
  <si>
    <t>Drum wrench</t>
  </si>
  <si>
    <t>Eletric fuel pump</t>
  </si>
  <si>
    <t>2x Cloth game bags</t>
  </si>
  <si>
    <t>Back up spork</t>
  </si>
  <si>
    <t>Lowa Tibet GTX Backpacking Shoes</t>
  </si>
  <si>
    <t>Darn Tough</t>
  </si>
  <si>
    <t>Chisana river height</t>
  </si>
  <si>
    <t>Starter</t>
  </si>
  <si>
    <t>Jet Boil 230g containers</t>
  </si>
  <si>
    <t>Lotion</t>
  </si>
  <si>
    <t>Wiggys</t>
  </si>
  <si>
    <t>Kuiu Merno Wool</t>
  </si>
  <si>
    <t>Kuiu  Guide Pant</t>
  </si>
  <si>
    <t>Thermal Top</t>
  </si>
  <si>
    <t>Light hiking cap</t>
  </si>
  <si>
    <t>Sitka</t>
  </si>
  <si>
    <t>Pack Raft</t>
  </si>
  <si>
    <t>Kill safety switch for run</t>
  </si>
  <si>
    <t>3000lb duck bills</t>
  </si>
  <si>
    <t>Sump pump</t>
  </si>
  <si>
    <t>hose for sump pump</t>
  </si>
  <si>
    <t>eletric gas pump or syphon</t>
  </si>
  <si>
    <t>Fuel cans to syphon</t>
  </si>
  <si>
    <t>pick axe</t>
  </si>
  <si>
    <t>chain saw</t>
  </si>
  <si>
    <t>extra blade</t>
  </si>
  <si>
    <t>dewalt air pump</t>
  </si>
  <si>
    <t>dewalt charger</t>
  </si>
  <si>
    <t>spark plug wrench</t>
  </si>
  <si>
    <t>tool bag for boat</t>
  </si>
  <si>
    <t>tarp to wrap boat</t>
  </si>
  <si>
    <t>pack raft to use as float on back</t>
  </si>
  <si>
    <t>Ax, sledge hammer</t>
  </si>
  <si>
    <t>Duck bill drive rod</t>
  </si>
  <si>
    <t>shovels</t>
  </si>
  <si>
    <t>anti freeze</t>
  </si>
  <si>
    <t>10 hrs * 15gal/hr= 150gal*$7/gal</t>
  </si>
  <si>
    <t>Boat cover support poles</t>
  </si>
  <si>
    <t>beat</t>
  </si>
  <si>
    <t>Short shovel to dig</t>
  </si>
  <si>
    <t>hilift jack</t>
  </si>
  <si>
    <t>hilift base plate</t>
  </si>
  <si>
    <t>hilift mate lift</t>
  </si>
  <si>
    <t>Snatch block w/ hook</t>
  </si>
  <si>
    <t>2000w generator rental</t>
  </si>
  <si>
    <t>Fuel for plane</t>
  </si>
  <si>
    <t>Snatch blocks</t>
  </si>
  <si>
    <t>D ring shackles</t>
  </si>
  <si>
    <t>2000lb winch 120v</t>
  </si>
  <si>
    <t>y</t>
  </si>
  <si>
    <t>5 gal fuel</t>
  </si>
  <si>
    <t>Sled for equipment</t>
  </si>
  <si>
    <t>Heavy Waders</t>
  </si>
  <si>
    <t>Matt Smtih</t>
  </si>
  <si>
    <t>Misc Equip</t>
  </si>
  <si>
    <t>Caribou registration tags</t>
  </si>
  <si>
    <t>Bought</t>
  </si>
  <si>
    <t>What tent?</t>
  </si>
  <si>
    <t>You bringing game bags for how many?</t>
  </si>
  <si>
    <t>Spotting Scope?</t>
  </si>
  <si>
    <t>Cloth game bags</t>
  </si>
  <si>
    <t>Game trashbags</t>
  </si>
  <si>
    <t>Wire Saw for skull</t>
  </si>
  <si>
    <t>Jet boil, I have new fuel</t>
  </si>
  <si>
    <t>Butcher knife</t>
  </si>
  <si>
    <t>Vasque Hiking boots</t>
  </si>
  <si>
    <t>Driving clothing</t>
  </si>
  <si>
    <t>Boat &amp; Bou Hunting Pack</t>
  </si>
  <si>
    <t>$</t>
  </si>
  <si>
    <t>Color</t>
  </si>
  <si>
    <t>Size</t>
  </si>
  <si>
    <t>Link</t>
  </si>
  <si>
    <t>https://www.rei.com/product/846538/outdoor-research-crocodile-gaiters-mens</t>
  </si>
  <si>
    <t>XL</t>
  </si>
  <si>
    <t>Outdoor Research Crocodile Gaiters - Men's</t>
  </si>
  <si>
    <t>Black</t>
  </si>
  <si>
    <t>Big Agnes Copper Spur HV UL3 Tent</t>
  </si>
  <si>
    <t>Orange</t>
  </si>
  <si>
    <t>https://www.rei.com/product/164194/big-agnes-copper-spur-hv-ul3-tent</t>
  </si>
  <si>
    <t>2020 Footprint Copper Spur HV UL3 &amp; mtnGLO®</t>
  </si>
  <si>
    <t>Gray</t>
  </si>
  <si>
    <t>UL3</t>
  </si>
  <si>
    <t>https://www.bigagnes.com/Copper-Spur-HV-UL3-mtnGLO-Footprint-2020</t>
  </si>
  <si>
    <t>https://www.rei.com/product/887959/lowa-tibet-gtx-hiking-boots-mens</t>
  </si>
  <si>
    <t>Lowa Tibet GTX Hiking Boots - Men's</t>
  </si>
  <si>
    <t>Brown</t>
  </si>
  <si>
    <t>Grumman Goose Down Jacket</t>
  </si>
  <si>
    <t>https://www.stoneglacier.com/collections/insulation-layers/products/grumman-goose-down-jacket</t>
  </si>
  <si>
    <t>Might want straight 60mm</t>
  </si>
  <si>
    <t>https://www.swarovskioptik.com/birding/ats-sts-eyepiece-c21020201/ats-80-20-60x-p5006334-B1</t>
  </si>
  <si>
    <t>Swarovski ATS 65 25-50W</t>
  </si>
  <si>
    <t>Green Black</t>
  </si>
  <si>
    <t>https://www.kuiu.com/pro-7800-bag/62020.html?dwvar_62020_color=Valo&amp;cgid=pack-pro#start=18</t>
  </si>
  <si>
    <t>Ash Phantom</t>
  </si>
  <si>
    <t>Kuiu Pro 7800 Bag</t>
  </si>
  <si>
    <t>Kuiu Pro 7000</t>
  </si>
  <si>
    <t>Phantom</t>
  </si>
  <si>
    <t>https://www.kuiu.com/pro-lt-7000-bag/98003.html?dwvar_98003_color=Valo&amp;cgid=pack-pro#start=13</t>
  </si>
  <si>
    <t>Sig Sauer KILO2000 Rangefinder</t>
  </si>
  <si>
    <t>Kilo2000</t>
  </si>
  <si>
    <t>https://www.cabelas.com/shop/en/sig-sauer-kilo2000-rangefinder-100308490</t>
  </si>
  <si>
    <t>Elk Hunter by Knives of Alaska</t>
  </si>
  <si>
    <t>https://www.knivesofalaska.com/Store/elk-hunter/elk-hunter-black-suregrip</t>
  </si>
  <si>
    <t>Proriety</t>
  </si>
  <si>
    <t>Brought</t>
  </si>
  <si>
    <t>Vanguard Endeavor HD 82A Angled Eyepiece Spotting Scope</t>
  </si>
  <si>
    <t>20-60x82mm</t>
  </si>
  <si>
    <t>https://www.amazon.com/Vanguard-Endeavor-HD-65A-Waterproof/dp/B00BJFAYJ2/ref=cm_cr_arp_d_product_top?ie=UTF8&amp;th=1</t>
  </si>
  <si>
    <t>White suits</t>
  </si>
  <si>
    <t>25A Sheep Hunt</t>
  </si>
  <si>
    <t>25A Sheep Harvest</t>
  </si>
  <si>
    <t>2010 Commericaly report Guide</t>
  </si>
  <si>
    <t>2010 Commericaly report  UnGuided</t>
  </si>
  <si>
    <t>2010 Commericaly report Sheenjek Total ppl</t>
  </si>
  <si>
    <t>2010 Commericaly report  Sheenjek Hunters</t>
  </si>
  <si>
    <t>25A Success Rate</t>
  </si>
  <si>
    <t>2010 Commericaly report  Sheenjek Hunters / 25A Hunt</t>
  </si>
  <si>
    <t>Banana Chips</t>
  </si>
  <si>
    <t>Cheese block</t>
  </si>
  <si>
    <t>Olive oil single packs</t>
  </si>
  <si>
    <t>Dark cholocalte bars</t>
  </si>
  <si>
    <t>Hikers energy mix</t>
  </si>
  <si>
    <t>Probars</t>
  </si>
  <si>
    <t>Peanut M&amp;M</t>
  </si>
  <si>
    <t>Hawaiian Sweet Rolls</t>
  </si>
  <si>
    <t>Caribou Hunt Tag</t>
  </si>
  <si>
    <t>Brown Bear Hunt Tag</t>
  </si>
  <si>
    <t>Brown Bear lock Tag</t>
  </si>
  <si>
    <t>Stone Glacier Sky 7900</t>
  </si>
  <si>
    <t>Stone Glacier Xcurve Large</t>
  </si>
  <si>
    <t>Stone Glacier Rain Cover + bag</t>
  </si>
  <si>
    <t>Stone Glacier Large Accessory pack</t>
  </si>
  <si>
    <t>Do I want to use bottle for drinking</t>
  </si>
  <si>
    <t>HydraPak</t>
  </si>
  <si>
    <t>1L hydration pack</t>
  </si>
  <si>
    <t>MSR DromLite Bag</t>
  </si>
  <si>
    <t xml:space="preserve"> 6 Liters Hydration pack</t>
  </si>
  <si>
    <t>2L hydration bag</t>
  </si>
  <si>
    <t>Sea to Summit 20L</t>
  </si>
  <si>
    <t>Use dads tarp?</t>
  </si>
  <si>
    <t>Emergancy Tarp</t>
  </si>
  <si>
    <t>Ear plugs x4</t>
  </si>
  <si>
    <t>Sandles or upgrade wiggys</t>
  </si>
  <si>
    <t>Spotting Scope</t>
  </si>
  <si>
    <t>Swarovski ATS 20x60 65mm</t>
  </si>
  <si>
    <t>Range Finder</t>
  </si>
  <si>
    <t>SIG SAUER KILO 2200 BDX</t>
  </si>
  <si>
    <t>First Lite Wick LS Crew</t>
  </si>
  <si>
    <t>Need to bring 250?</t>
  </si>
  <si>
    <t>What is your success rate?</t>
  </si>
  <si>
    <t>Looks like you are hunting the Sheenjek or East Chandler? After the 206 flight do you fly a cub out or hike?</t>
  </si>
  <si>
    <t>Do you float down to the strip after or hike back?</t>
  </si>
  <si>
    <t>What is the sheep population like?</t>
  </si>
  <si>
    <t>How many people do you guide each year? How do you spread them out?</t>
  </si>
  <si>
    <t>What is your sheep hunting methodology? Hike hard and cover ground? Patience?</t>
  </si>
  <si>
    <t>Do you fly your area with cub or rely on the years of guiding in the area?</t>
  </si>
  <si>
    <t>Are the areas of interest up by the divide/glaciers or more in the foothills? Elevation climbing?</t>
  </si>
  <si>
    <t>How many resident hunters are in the area?</t>
  </si>
  <si>
    <t>Had a buddy who moved up to alaska and went into the wrangells with him last year. Got the bug and planning for my own trip. Heard from him that you were a quality guide.</t>
  </si>
  <si>
    <t>Black Bear Tag</t>
  </si>
  <si>
    <t>Dad Need</t>
  </si>
  <si>
    <t>Pack</t>
  </si>
  <si>
    <t>Stone Glacier Hydro Lid</t>
  </si>
  <si>
    <t>Need to figure out hydration set up</t>
  </si>
  <si>
    <t>https://www.amazon.com/gp/product/B073GQXMM9/ref=ppx_yo_dt_b_search_asin_title?ie=UTF8&amp;psc=1</t>
  </si>
  <si>
    <t>Scope Cover</t>
  </si>
  <si>
    <t>???</t>
  </si>
  <si>
    <t>Needed?</t>
  </si>
  <si>
    <t>5 rounds for zero at strip/10sheep/5bou'. Pack 10</t>
  </si>
  <si>
    <t>Have a bag at the house</t>
  </si>
  <si>
    <t xml:space="preserve">Dad might bring </t>
  </si>
  <si>
    <t>Spotting Scope stand</t>
  </si>
  <si>
    <t>Jet Boil 8.11oz/230g containers</t>
  </si>
  <si>
    <t>Will bring one between both of use</t>
  </si>
  <si>
    <t>Taoks Titanium single wall 750ml</t>
  </si>
  <si>
    <t>Make sure its bigger than you think you need</t>
  </si>
  <si>
    <t>Satellite communicator</t>
  </si>
  <si>
    <t>Upgrade to GPSMAP 66i?</t>
  </si>
  <si>
    <t>Utility knife</t>
  </si>
  <si>
    <t>Alaska Knife Elk Hunter Orange</t>
  </si>
  <si>
    <t>Havalon Knife</t>
  </si>
  <si>
    <t>Kit</t>
  </si>
  <si>
    <t>I use 3. A large that is my kit, a small with battery brick &amp; charging cords, and first aid/meds kit</t>
  </si>
  <si>
    <t>Optional</t>
  </si>
  <si>
    <t>LMNT Electrolyte packs</t>
  </si>
  <si>
    <t>Maybe 5-10</t>
  </si>
  <si>
    <t>Small bottle of alcohol wipes</t>
  </si>
  <si>
    <t>Ass wipes</t>
  </si>
  <si>
    <t>Refesh wipes</t>
  </si>
  <si>
    <t>One pack</t>
  </si>
  <si>
    <t>Eletronics kit</t>
  </si>
  <si>
    <t>Iphone to USB cord</t>
  </si>
  <si>
    <t>Mini USB to USB</t>
  </si>
  <si>
    <t>You said you had a solor charger?</t>
  </si>
  <si>
    <t>Tent rain tarp</t>
  </si>
  <si>
    <t>Big Agnes Copper Spur HV UL3</t>
  </si>
  <si>
    <t>Need to buy still?</t>
  </si>
  <si>
    <t>Poles</t>
  </si>
  <si>
    <t>Tent Repair Kit</t>
  </si>
  <si>
    <t>Stakes</t>
  </si>
  <si>
    <t>Use for tent repair as well</t>
  </si>
  <si>
    <t>Pole repair/Water proof tape or patch</t>
  </si>
  <si>
    <t>Bivy</t>
  </si>
  <si>
    <t>Do we need this?</t>
  </si>
  <si>
    <t>Needs to be small, nothing fancy Might be able to use mine</t>
  </si>
  <si>
    <t>Redfield stand on Matts spotting scope</t>
  </si>
  <si>
    <t>Game trashbag</t>
  </si>
  <si>
    <t>2 bags for sheet/ leave 4 bags for bou at strip</t>
  </si>
  <si>
    <t>1 bag for sheep/2 for bou</t>
  </si>
  <si>
    <t>Construction grade</t>
  </si>
  <si>
    <t>I have a set here, brand new of what I like best</t>
  </si>
  <si>
    <t>I have plenty for us. Drinking glacier water, not concerned</t>
  </si>
  <si>
    <t>Sock liners</t>
  </si>
  <si>
    <t>REI silk liners</t>
  </si>
  <si>
    <t>Arc'teryx Cerium LT Hoody L</t>
  </si>
  <si>
    <t>Thin gloves</t>
  </si>
  <si>
    <t>Tyvek Painter suits</t>
  </si>
  <si>
    <t>Alpak Mules</t>
  </si>
  <si>
    <t>Need ot buy</t>
  </si>
  <si>
    <t>Crampons</t>
  </si>
  <si>
    <t>Kahtoola MICROspikes Pocket Traction System - XL</t>
  </si>
  <si>
    <t>XL for Boots</t>
  </si>
  <si>
    <t>Glock 20</t>
  </si>
  <si>
    <t>Hand gun for bear</t>
  </si>
  <si>
    <t>Rifle Ammo</t>
  </si>
  <si>
    <t>Hand Gun ammo</t>
  </si>
  <si>
    <t>Bear loads</t>
  </si>
  <si>
    <t/>
  </si>
  <si>
    <t>Spotting scope phone adapter - Scope</t>
  </si>
  <si>
    <t>Spotting scope phone adapter - Phone</t>
  </si>
  <si>
    <t>Phone Scope</t>
  </si>
  <si>
    <t>Meranio wool 250</t>
  </si>
  <si>
    <t>$200 cash</t>
  </si>
  <si>
    <t>Drivers license</t>
  </si>
  <si>
    <t>Gaiters</t>
  </si>
  <si>
    <t>Outdoor research Crocodile Gaiters</t>
  </si>
  <si>
    <t>Attack if weather looks warm</t>
  </si>
  <si>
    <t>Big Agnes Copper Spur HV UL3 Footprint</t>
  </si>
  <si>
    <t>Freeze Dry Dinner #1</t>
  </si>
  <si>
    <t>Peak Refuel Beef Pasta Marinara</t>
  </si>
  <si>
    <t>Caleries/Serving</t>
  </si>
  <si>
    <t># of servings/bag</t>
  </si>
  <si>
    <t>Fat (g)</t>
  </si>
  <si>
    <t>Carb(g)</t>
  </si>
  <si>
    <t>Protien(g)</t>
  </si>
  <si>
    <t>Net Weight/serv</t>
  </si>
  <si>
    <t>Total Calerios</t>
  </si>
  <si>
    <t>Total Fat(g)</t>
  </si>
  <si>
    <t>Total Carb(g)</t>
  </si>
  <si>
    <t>Total Protien (g)</t>
  </si>
  <si>
    <t>Peak refuel Chick &amp; Rice</t>
  </si>
  <si>
    <t>Freeze Dry Dinner #2</t>
  </si>
  <si>
    <t>Freeze Dry Dinner #3</t>
  </si>
  <si>
    <t>Freeze Dry Breakfast #1</t>
  </si>
  <si>
    <t>Calorie/oz</t>
  </si>
  <si>
    <t>Mountain house Breakfast skillet</t>
  </si>
  <si>
    <t>Freeze Dry Breakfast #2</t>
  </si>
  <si>
    <t>Matt's Needs (5,000 calerioes/day)</t>
  </si>
  <si>
    <t>Total Oz</t>
  </si>
  <si>
    <t>Toal Lbs</t>
  </si>
  <si>
    <t>Freeze Dry Dinner #4</t>
  </si>
  <si>
    <t>Peak Refuel Chicken Alfredo Pasta</t>
  </si>
  <si>
    <t>Peak Refuel Chicken Pesto Pasta</t>
  </si>
  <si>
    <t>Fred Meyers</t>
  </si>
  <si>
    <t>Peanut Butter</t>
  </si>
  <si>
    <t>Jif 1lb Jars</t>
  </si>
  <si>
    <t>1 roll</t>
  </si>
  <si>
    <t>Chocolate covered Banana Chips</t>
  </si>
  <si>
    <t>Ghirardelli Intense Dark 72% Cacao Twilight Delight Chocolate Bar</t>
  </si>
  <si>
    <t>Buy</t>
  </si>
  <si>
    <t>Peak Refuel Biscuts &amp; Gravy</t>
  </si>
  <si>
    <t xml:space="preserve">Blister bandiad </t>
  </si>
  <si>
    <t>Tough bandiads for fingers/toes</t>
  </si>
  <si>
    <t>Antiseptic Wipes</t>
  </si>
  <si>
    <t>Butterfly bandiads</t>
  </si>
  <si>
    <t>Rigid Strapping tape</t>
  </si>
  <si>
    <t>Advil</t>
  </si>
  <si>
    <t>2 pills every day for 10 days. Higher dose</t>
  </si>
  <si>
    <t>Benadryl pills</t>
  </si>
  <si>
    <t>Trauma pack</t>
  </si>
  <si>
    <t>Adventure Medical Kits Trauma Pak</t>
  </si>
  <si>
    <t>pepto pills</t>
  </si>
  <si>
    <t>Anti acid pills</t>
  </si>
  <si>
    <t>Gauze pads</t>
  </si>
  <si>
    <t>Safety pins</t>
  </si>
  <si>
    <t>SAM Splint</t>
  </si>
  <si>
    <t>Waterproof bandiage</t>
  </si>
  <si>
    <t>First aid kit</t>
  </si>
  <si>
    <t>Survival Kit</t>
  </si>
  <si>
    <t>Lighter x2</t>
  </si>
  <si>
    <t>Paper map</t>
  </si>
  <si>
    <t>LifeMed Alaska Membership</t>
  </si>
  <si>
    <t>Suturing needle with string</t>
  </si>
  <si>
    <t>Sterlie Skin Stapler</t>
  </si>
  <si>
    <t>Neosporian tube</t>
  </si>
  <si>
    <t>Wise Owl or dads</t>
  </si>
  <si>
    <t>Travel size</t>
  </si>
  <si>
    <t>Combat wipes Commando 25 pack</t>
  </si>
  <si>
    <t>Combat Wipes Active 25 pack</t>
  </si>
  <si>
    <t>Bear container at airstrip</t>
  </si>
  <si>
    <t>Peanut butter</t>
  </si>
  <si>
    <t>Jif lube 16oz</t>
  </si>
  <si>
    <t>4x coors lights</t>
  </si>
  <si>
    <t>Whiskey</t>
  </si>
  <si>
    <t>1 trash bag</t>
  </si>
  <si>
    <t>4x game bags</t>
  </si>
  <si>
    <t>Fresh shirt</t>
  </si>
  <si>
    <t>Fresh pants</t>
  </si>
  <si>
    <t>Fresh underwear</t>
  </si>
  <si>
    <t>Peak Refuel Sweet Pork &amp; rRice</t>
  </si>
  <si>
    <t>Freeze Dry Dinner #5</t>
  </si>
  <si>
    <t>Mountain House Chicken Fajita bowl</t>
  </si>
  <si>
    <t>Friday Morning</t>
  </si>
  <si>
    <t>Friday Dinner</t>
  </si>
  <si>
    <t>Saturday Morning</t>
  </si>
  <si>
    <t>Saturday Lunch</t>
  </si>
  <si>
    <t>Saturday Dinner</t>
  </si>
  <si>
    <t>Sunday Breakfast</t>
  </si>
  <si>
    <t>Bottle water</t>
  </si>
  <si>
    <t>Harrison snack packs</t>
  </si>
  <si>
    <t>Goldfish</t>
  </si>
  <si>
    <t>Use frying pan for eggs</t>
  </si>
  <si>
    <t>Friday Lunch</t>
  </si>
  <si>
    <t>Sandwiches</t>
  </si>
  <si>
    <t>Lazagna</t>
  </si>
  <si>
    <t>Breakfast tacos</t>
  </si>
  <si>
    <t>Hamburgers on the griddle</t>
  </si>
  <si>
    <t>Wine</t>
  </si>
  <si>
    <t>Milk</t>
  </si>
  <si>
    <t>Garmin InReach Explorer plus</t>
  </si>
  <si>
    <t>Stone Glacier Nalgen</t>
  </si>
  <si>
    <t>Nalgen bottle</t>
  </si>
  <si>
    <t>Platypus 27 fl. Oz. of olive oil</t>
  </si>
  <si>
    <t>Insect repellant</t>
  </si>
  <si>
    <t>Glasses + case</t>
  </si>
  <si>
    <t>Nagel Need</t>
  </si>
  <si>
    <t>Packed Already</t>
  </si>
  <si>
    <t/>
  </si>
  <si>
    <t>2 bags for sheep/ leave 4 bags for bou at strip</t>
  </si>
  <si>
    <t>caribou 28x60 x3</t>
  </si>
  <si>
    <t/>
  </si>
  <si>
    <t/>
  </si>
  <si>
    <t>Cotton balls/vaseline??</t>
  </si>
  <si>
    <t>x/</t>
  </si>
  <si>
    <t>Kuiu Rain Cover + bag</t>
  </si>
  <si>
    <t>Kuiu Icon Pro 7800</t>
  </si>
  <si>
    <t>Kuiu Accessory Packs</t>
  </si>
  <si>
    <t>Sizes?</t>
  </si>
  <si>
    <t>ThermaLite - NEMO Tensor Insulated Sleeping Pad</t>
  </si>
  <si>
    <t>Kuiu Dry Bags</t>
  </si>
  <si>
    <t>Marmot Limelite 3P</t>
  </si>
  <si>
    <t>Vortex 4.5-16x44</t>
  </si>
  <si>
    <t>Rifle/Scope Cover</t>
  </si>
  <si>
    <t>Solo Hunter Slig</t>
  </si>
  <si>
    <t>Leupold</t>
  </si>
  <si>
    <t>Vortex Diamondback HD 10x40</t>
  </si>
  <si>
    <t>Vortex 15-45 x 65</t>
  </si>
  <si>
    <t>??</t>
  </si>
  <si>
    <t>Jet boil</t>
  </si>
  <si>
    <t>Toaks Titanium Spork</t>
  </si>
  <si>
    <t>Bino Harness</t>
  </si>
  <si>
    <t>Kuiu Pro</t>
  </si>
  <si>
    <t>Platypus 3L Bladder w/ Kuiu hydration pack</t>
  </si>
  <si>
    <t>North Face 0* Sleeping Bag / Sleeping Bag Liner</t>
  </si>
  <si>
    <t>Outdoor edge Knife</t>
  </si>
  <si>
    <t>Dude Wipes 25 pack</t>
  </si>
  <si>
    <t>LMNT Electrolyte packs w/ BCAAs</t>
  </si>
  <si>
    <t>Anker 2000mAh</t>
  </si>
  <si>
    <t>Extra battery brick</t>
  </si>
  <si>
    <t>Moose Hunt Tag</t>
  </si>
  <si>
    <t>Game Bags</t>
  </si>
  <si>
    <t>Mosquito Head Net</t>
  </si>
  <si>
    <t>Dramamine for flight</t>
  </si>
  <si>
    <t>Simms boots</t>
  </si>
  <si>
    <t>OTC Bear Tag</t>
  </si>
  <si>
    <t>Goat Hunt Tag</t>
  </si>
  <si>
    <t>Cash</t>
  </si>
  <si>
    <t>Kuiu Icon Pro 7200</t>
  </si>
  <si>
    <t>Emergency Bivy</t>
  </si>
  <si>
    <t>Kowa 665</t>
  </si>
  <si>
    <t>Olin</t>
  </si>
  <si>
    <t>Peak Sissy Stix</t>
  </si>
  <si>
    <t>Anker 20,000mAh</t>
  </si>
  <si>
    <t>USBC to USB</t>
  </si>
  <si>
    <t>Cotton balls/vaseline</t>
  </si>
  <si>
    <t>Water Iodine Tablets</t>
  </si>
  <si>
    <t>Crispi Briskdal</t>
  </si>
  <si>
    <t>Kuiu</t>
  </si>
  <si>
    <t>UnderArmour</t>
  </si>
  <si>
    <t>Kuiu Merino 97</t>
  </si>
  <si>
    <t>Kuiu  Attack/Tiburon Pant</t>
  </si>
  <si>
    <t>Smartwool</t>
  </si>
  <si>
    <t>Kuiu Super Down</t>
  </si>
  <si>
    <t>Stone Glacier</t>
  </si>
  <si>
    <t>Water filter</t>
  </si>
  <si>
    <t>Katydyn</t>
  </si>
  <si>
    <t>Solo Hunter Sling</t>
  </si>
  <si>
    <t>Axil electronic + foam</t>
  </si>
  <si>
    <t>Tricer + adapters</t>
  </si>
  <si>
    <t>Insect Head Net</t>
  </si>
  <si>
    <t>Leuko Tape / Duct Tape/Electrical Tape</t>
  </si>
  <si>
    <t>AirMedCare Membership</t>
  </si>
  <si>
    <t>Imodium</t>
  </si>
  <si>
    <t>Water Pump</t>
  </si>
  <si>
    <t>Katydn Hiker</t>
  </si>
  <si>
    <t>Jetboil 3.5 oz (small)</t>
  </si>
  <si>
    <t>Jetboil Fuel</t>
  </si>
  <si>
    <t>3x Caribou Gear 28x60" 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</si>
</sst>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&quot;$&quot;#,##0"/>
    <numFmt numFmtId="166" formatCode="_(&quot;$&quot;* #,##0_);_(&quot;$&quot;* \(#,##0\);_(&quot;$&quot;* &quot;-&quot;??_);_(@_)"/>
    <numFmt numFmtId="167" formatCode="_(* #,##0_);_(* \(#,##0\);_(* &quot;-&quot;??_);_(@_)"/>
    <numFmt numFmtId="168" formatCode="_(* #,##0.0_);_(* \(#,##0.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u/>
      <sz val="36"/>
      <color theme="1"/>
      <name val="Calibri"/>
      <family val="2"/>
      <scheme val="minor"/>
    </font>
    <font>
      <strike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2E2E2E"/>
      <name val="Georgia"/>
      <family val="1"/>
    </font>
    <font>
      <strike/>
      <sz val="11"/>
      <color rgb="FF2E2E2E"/>
      <name val="Georgia"/>
      <family val="1"/>
    </font>
    <font>
      <strike/>
      <sz val="11"/>
      <color theme="1"/>
      <name val="Calibri"/>
      <family val="2"/>
      <scheme val="minor"/>
    </font>
    <font>
      <sz val="12"/>
      <color rgb="FF0F1111"/>
      <name val="Arial"/>
      <family val="2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4"/>
      <color rgb="FF3C3E40"/>
      <name val="Montserrat"/>
    </font>
    <font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rgb="FF3C3E40"/>
      <name val="Montserrat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5">
    <xf numFmtId="0" fontId="0" fillId="0" borderId="0" xfId="0"/>
    <xf numFmtId="6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65" fontId="0" fillId="0" borderId="2" xfId="0" applyNumberFormat="1" applyBorder="1"/>
    <xf numFmtId="0" fontId="0" fillId="0" borderId="2" xfId="0" applyBorder="1"/>
    <xf numFmtId="0" fontId="0" fillId="0" borderId="3" xfId="0" applyBorder="1"/>
    <xf numFmtId="165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3" xfId="0" applyNumberFormat="1" applyBorder="1"/>
    <xf numFmtId="0" fontId="3" fillId="0" borderId="0" xfId="0" applyFont="1"/>
    <xf numFmtId="0" fontId="0" fillId="0" borderId="7" xfId="0" applyBorder="1"/>
    <xf numFmtId="0" fontId="0" fillId="0" borderId="8" xfId="0" applyBorder="1"/>
    <xf numFmtId="9" fontId="0" fillId="0" borderId="8" xfId="1" applyFont="1" applyBorder="1" applyAlignment="1">
      <alignment horizontal="left"/>
    </xf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2" fillId="0" borderId="0" xfId="0" applyFont="1"/>
    <xf numFmtId="164" fontId="2" fillId="0" borderId="0" xfId="0" applyNumberFormat="1" applyFont="1"/>
    <xf numFmtId="0" fontId="2" fillId="0" borderId="7" xfId="0" applyFont="1" applyBorder="1"/>
    <xf numFmtId="0" fontId="0" fillId="2" borderId="7" xfId="0" applyFill="1" applyBorder="1"/>
    <xf numFmtId="0" fontId="0" fillId="2" borderId="7" xfId="0" applyFill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7" xfId="0" applyFont="1" applyBorder="1"/>
    <xf numFmtId="0" fontId="6" fillId="0" borderId="0" xfId="0" applyFont="1"/>
    <xf numFmtId="164" fontId="6" fillId="0" borderId="0" xfId="0" applyNumberFormat="1" applyFont="1"/>
    <xf numFmtId="0" fontId="4" fillId="0" borderId="8" xfId="0" applyFont="1" applyBorder="1"/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vertical="top"/>
    </xf>
    <xf numFmtId="0" fontId="4" fillId="0" borderId="13" xfId="0" applyFont="1" applyBorder="1"/>
    <xf numFmtId="0" fontId="7" fillId="0" borderId="13" xfId="0" applyFont="1" applyBorder="1"/>
    <xf numFmtId="6" fontId="4" fillId="0" borderId="13" xfId="0" applyNumberFormat="1" applyFont="1" applyBorder="1"/>
    <xf numFmtId="164" fontId="4" fillId="0" borderId="13" xfId="0" applyNumberFormat="1" applyFont="1" applyBorder="1"/>
    <xf numFmtId="165" fontId="4" fillId="0" borderId="13" xfId="0" applyNumberFormat="1" applyFont="1" applyBorder="1"/>
    <xf numFmtId="0" fontId="4" fillId="0" borderId="13" xfId="0" applyFont="1" applyBorder="1" applyAlignment="1">
      <alignment vertical="top"/>
    </xf>
    <xf numFmtId="0" fontId="8" fillId="0" borderId="13" xfId="0" applyFont="1" applyBorder="1"/>
    <xf numFmtId="165" fontId="8" fillId="0" borderId="13" xfId="0" applyNumberFormat="1" applyFont="1" applyBorder="1"/>
    <xf numFmtId="0" fontId="4" fillId="0" borderId="13" xfId="0" applyFont="1" applyBorder="1" applyAlignment="1">
      <alignment wrapText="1"/>
    </xf>
    <xf numFmtId="0" fontId="4" fillId="0" borderId="14" xfId="0" applyFont="1" applyBorder="1"/>
    <xf numFmtId="165" fontId="4" fillId="0" borderId="14" xfId="0" applyNumberFormat="1" applyFont="1" applyBorder="1"/>
    <xf numFmtId="164" fontId="4" fillId="0" borderId="14" xfId="0" applyNumberFormat="1" applyFont="1" applyBorder="1"/>
    <xf numFmtId="0" fontId="5" fillId="0" borderId="15" xfId="0" applyFont="1" applyBorder="1"/>
    <xf numFmtId="0" fontId="5" fillId="0" borderId="16" xfId="0" applyFont="1" applyBorder="1"/>
    <xf numFmtId="0" fontId="4" fillId="0" borderId="16" xfId="0" applyFont="1" applyBorder="1"/>
    <xf numFmtId="165" fontId="4" fillId="0" borderId="16" xfId="0" applyNumberFormat="1" applyFont="1" applyBorder="1"/>
    <xf numFmtId="164" fontId="4" fillId="0" borderId="17" xfId="0" applyNumberFormat="1" applyFont="1" applyBorder="1"/>
    <xf numFmtId="0" fontId="4" fillId="0" borderId="11" xfId="0" applyFont="1" applyBorder="1"/>
    <xf numFmtId="164" fontId="4" fillId="0" borderId="18" xfId="0" applyNumberFormat="1" applyFont="1" applyBorder="1"/>
    <xf numFmtId="0" fontId="4" fillId="0" borderId="12" xfId="0" applyFont="1" applyBorder="1"/>
    <xf numFmtId="0" fontId="4" fillId="0" borderId="19" xfId="0" applyFont="1" applyBorder="1"/>
    <xf numFmtId="165" fontId="4" fillId="0" borderId="19" xfId="0" applyNumberFormat="1" applyFont="1" applyBorder="1"/>
    <xf numFmtId="164" fontId="4" fillId="0" borderId="20" xfId="0" applyNumberFormat="1" applyFont="1" applyBorder="1"/>
    <xf numFmtId="0" fontId="4" fillId="0" borderId="21" xfId="0" applyFont="1" applyBorder="1"/>
    <xf numFmtId="0" fontId="5" fillId="0" borderId="22" xfId="0" applyFont="1" applyBorder="1"/>
    <xf numFmtId="0" fontId="4" fillId="0" borderId="21" xfId="0" applyFont="1" applyBorder="1" applyAlignment="1">
      <alignment wrapText="1"/>
    </xf>
    <xf numFmtId="0" fontId="4" fillId="0" borderId="25" xfId="0" applyFont="1" applyBorder="1"/>
    <xf numFmtId="0" fontId="4" fillId="0" borderId="26" xfId="0" applyFont="1" applyBorder="1"/>
    <xf numFmtId="164" fontId="4" fillId="0" borderId="16" xfId="0" applyNumberFormat="1" applyFont="1" applyBorder="1"/>
    <xf numFmtId="0" fontId="4" fillId="0" borderId="27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4" fillId="0" borderId="18" xfId="0" applyFont="1" applyBorder="1"/>
    <xf numFmtId="0" fontId="7" fillId="0" borderId="11" xfId="0" applyFont="1" applyBorder="1"/>
    <xf numFmtId="0" fontId="4" fillId="2" borderId="11" xfId="0" applyFont="1" applyFill="1" applyBorder="1"/>
    <xf numFmtId="0" fontId="4" fillId="0" borderId="28" xfId="0" applyFont="1" applyBorder="1"/>
    <xf numFmtId="0" fontId="4" fillId="0" borderId="30" xfId="0" applyFont="1" applyBorder="1"/>
    <xf numFmtId="0" fontId="5" fillId="0" borderId="30" xfId="0" applyFont="1" applyBorder="1"/>
    <xf numFmtId="165" fontId="4" fillId="0" borderId="30" xfId="0" applyNumberFormat="1" applyFont="1" applyBorder="1"/>
    <xf numFmtId="0" fontId="9" fillId="0" borderId="7" xfId="0" applyFont="1" applyBorder="1"/>
    <xf numFmtId="0" fontId="9" fillId="0" borderId="0" xfId="0" applyFont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165" fontId="12" fillId="0" borderId="0" xfId="0" applyNumberFormat="1" applyFont="1"/>
    <xf numFmtId="0" fontId="13" fillId="0" borderId="0" xfId="0" applyFont="1" applyAlignment="1">
      <alignment vertical="center" wrapText="1"/>
    </xf>
    <xf numFmtId="0" fontId="4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0" fontId="4" fillId="0" borderId="33" xfId="0" applyFont="1" applyBorder="1"/>
    <xf numFmtId="165" fontId="4" fillId="0" borderId="33" xfId="0" applyNumberFormat="1" applyFont="1" applyBorder="1"/>
    <xf numFmtId="164" fontId="4" fillId="0" borderId="33" xfId="0" applyNumberFormat="1" applyFont="1" applyBorder="1"/>
    <xf numFmtId="9" fontId="0" fillId="0" borderId="0" xfId="1" applyFont="1"/>
    <xf numFmtId="0" fontId="14" fillId="0" borderId="0" xfId="0" applyFont="1"/>
    <xf numFmtId="0" fontId="15" fillId="0" borderId="0" xfId="0" applyFont="1"/>
    <xf numFmtId="0" fontId="4" fillId="0" borderId="29" xfId="0" applyFont="1" applyBorder="1"/>
    <xf numFmtId="0" fontId="5" fillId="0" borderId="29" xfId="0" applyFont="1" applyBorder="1"/>
    <xf numFmtId="0" fontId="4" fillId="0" borderId="36" xfId="0" applyFont="1" applyBorder="1"/>
    <xf numFmtId="164" fontId="4" fillId="0" borderId="30" xfId="0" applyNumberFormat="1" applyFont="1" applyBorder="1"/>
    <xf numFmtId="0" fontId="5" fillId="0" borderId="12" xfId="0" applyFont="1" applyBorder="1"/>
    <xf numFmtId="0" fontId="4" fillId="0" borderId="27" xfId="0" applyFont="1" applyBorder="1"/>
    <xf numFmtId="164" fontId="4" fillId="0" borderId="37" xfId="0" applyNumberFormat="1" applyFont="1" applyBorder="1"/>
    <xf numFmtId="164" fontId="4" fillId="0" borderId="31" xfId="0" applyNumberFormat="1" applyFont="1" applyBorder="1"/>
    <xf numFmtId="0" fontId="4" fillId="2" borderId="13" xfId="0" applyFont="1" applyFill="1" applyBorder="1"/>
    <xf numFmtId="0" fontId="16" fillId="0" borderId="0" xfId="0" applyFont="1" applyAlignment="1">
      <alignment horizontal="left" vertical="center" wrapText="1" indent="6"/>
    </xf>
    <xf numFmtId="0" fontId="4" fillId="0" borderId="38" xfId="0" applyFont="1" applyBorder="1"/>
    <xf numFmtId="0" fontId="5" fillId="0" borderId="16" xfId="0" applyFont="1" applyBorder="1" applyAlignment="1">
      <alignment horizontal="center" wrapText="1"/>
    </xf>
    <xf numFmtId="0" fontId="4" fillId="0" borderId="16" xfId="0" applyFont="1" applyBorder="1" applyAlignment="1">
      <alignment wrapText="1"/>
    </xf>
    <xf numFmtId="165" fontId="4" fillId="0" borderId="16" xfId="0" applyNumberFormat="1" applyFont="1" applyBorder="1" applyAlignment="1">
      <alignment wrapText="1"/>
    </xf>
    <xf numFmtId="0" fontId="4" fillId="0" borderId="13" xfId="0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0" fontId="4" fillId="0" borderId="36" xfId="0" applyFont="1" applyBorder="1" applyAlignment="1">
      <alignment wrapText="1"/>
    </xf>
    <xf numFmtId="0" fontId="4" fillId="0" borderId="39" xfId="0" applyFont="1" applyBorder="1"/>
    <xf numFmtId="0" fontId="4" fillId="0" borderId="39" xfId="0" applyFont="1" applyBorder="1" applyAlignment="1">
      <alignment wrapText="1"/>
    </xf>
    <xf numFmtId="1" fontId="4" fillId="0" borderId="39" xfId="0" applyNumberFormat="1" applyFont="1" applyBorder="1"/>
    <xf numFmtId="0" fontId="4" fillId="0" borderId="40" xfId="0" applyFont="1" applyBorder="1"/>
    <xf numFmtId="0" fontId="4" fillId="0" borderId="41" xfId="0" applyFont="1" applyBorder="1"/>
    <xf numFmtId="164" fontId="4" fillId="0" borderId="13" xfId="0" applyNumberFormat="1" applyFont="1" applyBorder="1" applyAlignment="1">
      <alignment horizontal="center"/>
    </xf>
    <xf numFmtId="0" fontId="5" fillId="0" borderId="15" xfId="0" applyFont="1" applyBorder="1" applyAlignment="1">
      <alignment wrapText="1"/>
    </xf>
    <xf numFmtId="164" fontId="4" fillId="0" borderId="16" xfId="0" applyNumberFormat="1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19" xfId="0" applyFont="1" applyBorder="1" applyAlignment="1">
      <alignment horizontal="center"/>
    </xf>
    <xf numFmtId="165" fontId="4" fillId="0" borderId="19" xfId="0" applyNumberFormat="1" applyFont="1" applyBorder="1" applyAlignment="1">
      <alignment horizontal="center"/>
    </xf>
    <xf numFmtId="164" fontId="4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6" xfId="0" applyFont="1" applyBorder="1" applyAlignment="1">
      <alignment horizontal="center" wrapText="1"/>
    </xf>
    <xf numFmtId="1" fontId="4" fillId="0" borderId="13" xfId="0" applyNumberFormat="1" applyFont="1" applyBorder="1" applyAlignment="1">
      <alignment horizontal="center"/>
    </xf>
    <xf numFmtId="167" fontId="4" fillId="0" borderId="13" xfId="3" applyNumberFormat="1" applyFont="1" applyBorder="1" applyAlignment="1">
      <alignment horizontal="center"/>
    </xf>
    <xf numFmtId="167" fontId="4" fillId="0" borderId="19" xfId="3" applyNumberFormat="1" applyFont="1" applyBorder="1" applyAlignment="1">
      <alignment horizontal="center"/>
    </xf>
    <xf numFmtId="167" fontId="4" fillId="0" borderId="20" xfId="3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68" fontId="4" fillId="0" borderId="13" xfId="3" applyNumberFormat="1" applyFont="1" applyBorder="1" applyAlignment="1">
      <alignment horizontal="center"/>
    </xf>
    <xf numFmtId="168" fontId="4" fillId="0" borderId="18" xfId="3" applyNumberFormat="1" applyFont="1" applyBorder="1" applyAlignment="1">
      <alignment horizontal="center"/>
    </xf>
    <xf numFmtId="167" fontId="4" fillId="0" borderId="18" xfId="3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4" xfId="0" applyFont="1" applyBorder="1"/>
    <xf numFmtId="0" fontId="4" fillId="0" borderId="35" xfId="0" applyFont="1" applyBorder="1"/>
    <xf numFmtId="0" fontId="4" fillId="0" borderId="42" xfId="0" applyFont="1" applyBorder="1"/>
    <xf numFmtId="0" fontId="4" fillId="0" borderId="7" xfId="0" applyFont="1" applyBorder="1"/>
    <xf numFmtId="0" fontId="4" fillId="0" borderId="43" xfId="0" applyFont="1" applyBorder="1"/>
    <xf numFmtId="0" fontId="4" fillId="0" borderId="44" xfId="0" applyFont="1" applyBorder="1"/>
    <xf numFmtId="0" fontId="4" fillId="0" borderId="45" xfId="0" applyFont="1" applyBorder="1"/>
    <xf numFmtId="0" fontId="4" fillId="0" borderId="42" xfId="0" applyFont="1" applyBorder="1" applyAlignment="1">
      <alignment wrapText="1"/>
    </xf>
    <xf numFmtId="0" fontId="4" fillId="0" borderId="44" xfId="0" applyFont="1" applyBorder="1" applyAlignment="1">
      <alignment wrapText="1"/>
    </xf>
    <xf numFmtId="1" fontId="4" fillId="0" borderId="44" xfId="0" applyNumberFormat="1" applyFont="1" applyBorder="1"/>
    <xf numFmtId="0" fontId="4" fillId="0" borderId="30" xfId="0" applyFont="1" applyBorder="1" applyAlignment="1">
      <alignment wrapText="1"/>
    </xf>
    <xf numFmtId="0" fontId="4" fillId="2" borderId="36" xfId="0" applyFont="1" applyFill="1" applyBorder="1"/>
    <xf numFmtId="0" fontId="8" fillId="0" borderId="11" xfId="0" applyFont="1" applyBorder="1"/>
    <xf numFmtId="0" fontId="4" fillId="0" borderId="37" xfId="0" applyFont="1" applyBorder="1"/>
    <xf numFmtId="0" fontId="4" fillId="0" borderId="1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0" xfId="0" applyFont="1" applyAlignment="1">
      <alignment wrapText="1"/>
    </xf>
    <xf numFmtId="0" fontId="0" fillId="0" borderId="25" xfId="0" applyBorder="1"/>
    <xf numFmtId="0" fontId="0" fillId="0" borderId="36" xfId="0" applyBorder="1"/>
    <xf numFmtId="0" fontId="18" fillId="0" borderId="11" xfId="0" applyFont="1" applyBorder="1"/>
    <xf numFmtId="0" fontId="18" fillId="0" borderId="13" xfId="0" applyFont="1" applyBorder="1"/>
    <xf numFmtId="0" fontId="0" fillId="0" borderId="13" xfId="0" applyBorder="1"/>
    <xf numFmtId="0" fontId="0" fillId="0" borderId="18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38" xfId="0" applyBorder="1"/>
    <xf numFmtId="0" fontId="0" fillId="0" borderId="21" xfId="0" applyBorder="1"/>
    <xf numFmtId="0" fontId="0" fillId="0" borderId="34" xfId="0" applyBorder="1"/>
    <xf numFmtId="0" fontId="0" fillId="0" borderId="34" xfId="0" applyBorder="1" applyAlignment="1">
      <alignment horizontal="center" vertical="center"/>
    </xf>
    <xf numFmtId="6" fontId="0" fillId="0" borderId="13" xfId="0" applyNumberFormat="1" applyBorder="1"/>
    <xf numFmtId="164" fontId="0" fillId="0" borderId="18" xfId="0" applyNumberFormat="1" applyBorder="1"/>
    <xf numFmtId="0" fontId="0" fillId="0" borderId="35" xfId="0" applyBorder="1"/>
    <xf numFmtId="0" fontId="0" fillId="0" borderId="35" xfId="0" applyBorder="1" applyAlignment="1">
      <alignment horizontal="center" vertical="center"/>
    </xf>
    <xf numFmtId="164" fontId="0" fillId="0" borderId="13" xfId="0" applyNumberFormat="1" applyBorder="1"/>
    <xf numFmtId="0" fontId="0" fillId="0" borderId="28" xfId="0" applyBorder="1"/>
    <xf numFmtId="0" fontId="0" fillId="0" borderId="28" xfId="0" applyBorder="1" applyAlignment="1">
      <alignment horizontal="center" vertical="center"/>
    </xf>
    <xf numFmtId="0" fontId="12" fillId="0" borderId="11" xfId="0" applyFont="1" applyBorder="1"/>
    <xf numFmtId="0" fontId="12" fillId="0" borderId="13" xfId="0" applyFont="1" applyBorder="1"/>
    <xf numFmtId="165" fontId="0" fillId="0" borderId="13" xfId="0" applyNumberFormat="1" applyBorder="1"/>
    <xf numFmtId="0" fontId="0" fillId="0" borderId="12" xfId="0" applyBorder="1"/>
    <xf numFmtId="0" fontId="0" fillId="0" borderId="19" xfId="0" applyBorder="1"/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7" xfId="0" applyBorder="1"/>
    <xf numFmtId="0" fontId="0" fillId="0" borderId="14" xfId="0" applyBorder="1"/>
    <xf numFmtId="165" fontId="0" fillId="0" borderId="14" xfId="0" applyNumberFormat="1" applyBorder="1"/>
    <xf numFmtId="164" fontId="0" fillId="0" borderId="37" xfId="0" applyNumberFormat="1" applyBorder="1"/>
    <xf numFmtId="0" fontId="0" fillId="0" borderId="42" xfId="0" applyBorder="1"/>
    <xf numFmtId="0" fontId="3" fillId="0" borderId="15" xfId="0" applyFont="1" applyBorder="1"/>
    <xf numFmtId="0" fontId="0" fillId="0" borderId="16" xfId="0" applyBorder="1"/>
    <xf numFmtId="165" fontId="0" fillId="0" borderId="16" xfId="0" applyNumberFormat="1" applyBorder="1"/>
    <xf numFmtId="164" fontId="0" fillId="0" borderId="17" xfId="0" applyNumberFormat="1" applyBorder="1"/>
    <xf numFmtId="0" fontId="0" fillId="0" borderId="37" xfId="0" applyBorder="1"/>
    <xf numFmtId="0" fontId="3" fillId="0" borderId="12" xfId="0" applyFont="1" applyBorder="1"/>
    <xf numFmtId="165" fontId="0" fillId="0" borderId="19" xfId="0" applyNumberFormat="1" applyBorder="1"/>
    <xf numFmtId="164" fontId="0" fillId="0" borderId="20" xfId="0" applyNumberFormat="1" applyBorder="1"/>
    <xf numFmtId="0" fontId="3" fillId="0" borderId="29" xfId="0" applyFont="1" applyBorder="1"/>
    <xf numFmtId="0" fontId="0" fillId="0" borderId="30" xfId="0" applyBorder="1"/>
    <xf numFmtId="165" fontId="0" fillId="0" borderId="30" xfId="0" applyNumberFormat="1" applyBorder="1"/>
    <xf numFmtId="164" fontId="0" fillId="0" borderId="31" xfId="0" applyNumberFormat="1" applyBorder="1"/>
    <xf numFmtId="0" fontId="0" fillId="0" borderId="29" xfId="0" applyBorder="1"/>
    <xf numFmtId="0" fontId="0" fillId="0" borderId="30" xfId="0" applyBorder="1" applyAlignment="1">
      <alignment wrapText="1"/>
    </xf>
    <xf numFmtId="0" fontId="3" fillId="0" borderId="30" xfId="0" applyFont="1" applyBorder="1"/>
    <xf numFmtId="164" fontId="0" fillId="0" borderId="30" xfId="0" applyNumberFormat="1" applyBorder="1"/>
    <xf numFmtId="0" fontId="0" fillId="0" borderId="11" xfId="0" applyBorder="1" applyAlignment="1">
      <alignment vertical="top"/>
    </xf>
    <xf numFmtId="0" fontId="0" fillId="0" borderId="13" xfId="0" applyBorder="1" applyAlignment="1">
      <alignment vertical="top"/>
    </xf>
    <xf numFmtId="165" fontId="12" fillId="0" borderId="13" xfId="0" applyNumberFormat="1" applyFont="1" applyBorder="1"/>
    <xf numFmtId="0" fontId="0" fillId="0" borderId="27" xfId="0" applyBorder="1" applyAlignment="1">
      <alignment vertical="top"/>
    </xf>
    <xf numFmtId="0" fontId="0" fillId="0" borderId="14" xfId="0" applyBorder="1" applyAlignment="1">
      <alignment vertical="top"/>
    </xf>
    <xf numFmtId="164" fontId="0" fillId="0" borderId="14" xfId="0" applyNumberFormat="1" applyBorder="1"/>
    <xf numFmtId="0" fontId="0" fillId="0" borderId="32" xfId="0" applyBorder="1" applyAlignment="1">
      <alignment vertical="top"/>
    </xf>
    <xf numFmtId="0" fontId="0" fillId="0" borderId="33" xfId="0" applyBorder="1" applyAlignment="1">
      <alignment vertical="top"/>
    </xf>
    <xf numFmtId="0" fontId="0" fillId="0" borderId="33" xfId="0" applyBorder="1"/>
    <xf numFmtId="165" fontId="0" fillId="0" borderId="33" xfId="0" applyNumberFormat="1" applyBorder="1"/>
    <xf numFmtId="164" fontId="0" fillId="0" borderId="33" xfId="0" applyNumberFormat="1" applyBorder="1"/>
    <xf numFmtId="0" fontId="3" fillId="0" borderId="16" xfId="0" applyFont="1" applyBorder="1"/>
    <xf numFmtId="164" fontId="0" fillId="0" borderId="16" xfId="0" applyNumberFormat="1" applyBorder="1"/>
    <xf numFmtId="0" fontId="0" fillId="2" borderId="11" xfId="0" applyFill="1" applyBorder="1"/>
    <xf numFmtId="0" fontId="0" fillId="0" borderId="43" xfId="0" applyBorder="1"/>
    <xf numFmtId="0" fontId="3" fillId="0" borderId="22" xfId="0" applyFont="1" applyBorder="1"/>
    <xf numFmtId="0" fontId="0" fillId="0" borderId="44" xfId="0" applyBorder="1"/>
    <xf numFmtId="0" fontId="0" fillId="0" borderId="2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26" xfId="0" applyBorder="1"/>
    <xf numFmtId="0" fontId="0" fillId="0" borderId="45" xfId="0" applyBorder="1"/>
    <xf numFmtId="0" fontId="0" fillId="0" borderId="41" xfId="0" applyBorder="1"/>
    <xf numFmtId="0" fontId="0" fillId="0" borderId="36" xfId="0" applyBorder="1" applyAlignment="1">
      <alignment wrapText="1"/>
    </xf>
    <xf numFmtId="0" fontId="0" fillId="0" borderId="42" xfId="0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horizontal="center" wrapText="1"/>
    </xf>
    <xf numFmtId="0" fontId="0" fillId="0" borderId="16" xfId="0" applyBorder="1" applyAlignment="1">
      <alignment wrapText="1"/>
    </xf>
    <xf numFmtId="165" fontId="0" fillId="0" borderId="16" xfId="0" applyNumberFormat="1" applyBorder="1" applyAlignment="1">
      <alignment wrapText="1"/>
    </xf>
    <xf numFmtId="164" fontId="0" fillId="0" borderId="16" xfId="0" applyNumberFormat="1" applyBorder="1" applyAlignment="1">
      <alignment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39" xfId="0" applyBorder="1"/>
    <xf numFmtId="0" fontId="0" fillId="0" borderId="13" xfId="0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67" fontId="0" fillId="0" borderId="13" xfId="3" applyNumberFormat="1" applyFont="1" applyBorder="1" applyAlignment="1">
      <alignment horizontal="center"/>
    </xf>
    <xf numFmtId="167" fontId="0" fillId="0" borderId="18" xfId="3" applyNumberFormat="1" applyFont="1" applyBorder="1" applyAlignment="1">
      <alignment horizontal="center"/>
    </xf>
    <xf numFmtId="168" fontId="0" fillId="0" borderId="18" xfId="3" applyNumberFormat="1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39" xfId="0" applyBorder="1" applyAlignment="1">
      <alignment wrapText="1"/>
    </xf>
    <xf numFmtId="0" fontId="0" fillId="0" borderId="44" xfId="0" applyBorder="1" applyAlignment="1">
      <alignment wrapText="1"/>
    </xf>
    <xf numFmtId="1" fontId="0" fillId="0" borderId="39" xfId="0" applyNumberFormat="1" applyBorder="1"/>
    <xf numFmtId="1" fontId="0" fillId="0" borderId="44" xfId="0" applyNumberFormat="1" applyBorder="1"/>
    <xf numFmtId="168" fontId="0" fillId="0" borderId="13" xfId="3" applyNumberFormat="1" applyFont="1" applyBorder="1" applyAlignment="1">
      <alignment horizontal="center"/>
    </xf>
    <xf numFmtId="0" fontId="0" fillId="0" borderId="40" xfId="0" applyBorder="1"/>
    <xf numFmtId="0" fontId="0" fillId="0" borderId="19" xfId="0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7" fontId="0" fillId="0" borderId="19" xfId="3" applyNumberFormat="1" applyFont="1" applyBorder="1" applyAlignment="1">
      <alignment horizontal="center"/>
    </xf>
    <xf numFmtId="167" fontId="0" fillId="0" borderId="20" xfId="3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13" xfId="0" applyFill="1" applyBorder="1"/>
    <xf numFmtId="0" fontId="3" fillId="0" borderId="0" xfId="0" applyFont="1" applyAlignment="1">
      <alignment wrapText="1"/>
    </xf>
    <xf numFmtId="0" fontId="19" fillId="0" borderId="0" xfId="0" applyFont="1" applyAlignment="1">
      <alignment horizontal="left" vertical="center" wrapText="1"/>
    </xf>
    <xf numFmtId="167" fontId="0" fillId="0" borderId="13" xfId="3" applyNumberFormat="1" applyFont="1" applyBorder="1" applyAlignment="1">
      <alignment horizontal="center" wrapText="1"/>
    </xf>
    <xf numFmtId="167" fontId="0" fillId="0" borderId="19" xfId="3" applyNumberFormat="1" applyFont="1" applyBorder="1" applyAlignment="1">
      <alignment horizontal="center" wrapText="1"/>
    </xf>
    <xf numFmtId="0" fontId="17" fillId="0" borderId="30" xfId="0" applyFont="1" applyBorder="1"/>
    <xf numFmtId="0" fontId="0" fillId="0" borderId="0" xfId="0" applyAlignment="1">
      <alignment horizontal="left"/>
    </xf>
    <xf numFmtId="0" fontId="12" fillId="0" borderId="25" xfId="0" applyFont="1" applyBorder="1"/>
    <xf numFmtId="0" fontId="12" fillId="0" borderId="36" xfId="0" applyFont="1" applyBorder="1"/>
    <xf numFmtId="0" fontId="12" fillId="0" borderId="18" xfId="0" applyFont="1" applyBorder="1"/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164" fontId="12" fillId="0" borderId="18" xfId="0" applyNumberFormat="1" applyFont="1" applyBorder="1"/>
    <xf numFmtId="0" fontId="12" fillId="0" borderId="0" xfId="0" applyFont="1" applyAlignment="1">
      <alignment horizontal="left"/>
    </xf>
    <xf numFmtId="6" fontId="12" fillId="0" borderId="13" xfId="0" applyNumberFormat="1" applyFont="1" applyBorder="1"/>
    <xf numFmtId="164" fontId="12" fillId="0" borderId="13" xfId="0" applyNumberFormat="1" applyFont="1" applyBorder="1"/>
    <xf numFmtId="0" fontId="12" fillId="0" borderId="38" xfId="0" applyFont="1" applyBorder="1"/>
    <xf numFmtId="0" fontId="12" fillId="0" borderId="27" xfId="0" applyFont="1" applyBorder="1"/>
    <xf numFmtId="0" fontId="12" fillId="0" borderId="14" xfId="0" applyFont="1" applyBorder="1"/>
    <xf numFmtId="0" fontId="12" fillId="0" borderId="37" xfId="0" applyFont="1" applyBorder="1"/>
    <xf numFmtId="0" fontId="20" fillId="0" borderId="0" xfId="0" applyFont="1"/>
    <xf numFmtId="0" fontId="21" fillId="0" borderId="4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0" xfId="0" applyFont="1"/>
    <xf numFmtId="0" fontId="22" fillId="0" borderId="7" xfId="0" applyFont="1" applyBorder="1"/>
    <xf numFmtId="0" fontId="22" fillId="0" borderId="0" xfId="0" applyFont="1"/>
    <xf numFmtId="164" fontId="22" fillId="0" borderId="0" xfId="0" applyNumberFormat="1" applyFont="1"/>
    <xf numFmtId="0" fontId="20" fillId="0" borderId="8" xfId="0" applyFont="1" applyBorder="1"/>
    <xf numFmtId="0" fontId="20" fillId="0" borderId="24" xfId="0" applyFont="1" applyBorder="1"/>
    <xf numFmtId="0" fontId="23" fillId="0" borderId="15" xfId="0" applyFont="1" applyBorder="1"/>
    <xf numFmtId="0" fontId="23" fillId="0" borderId="16" xfId="0" applyFont="1" applyBorder="1"/>
    <xf numFmtId="0" fontId="20" fillId="0" borderId="16" xfId="0" applyFont="1" applyBorder="1"/>
    <xf numFmtId="0" fontId="20" fillId="0" borderId="17" xfId="0" applyFont="1" applyBorder="1"/>
    <xf numFmtId="0" fontId="20" fillId="0" borderId="5" xfId="0" applyFont="1" applyBorder="1"/>
    <xf numFmtId="0" fontId="20" fillId="0" borderId="6" xfId="0" applyFont="1" applyBorder="1"/>
    <xf numFmtId="16" fontId="20" fillId="0" borderId="0" xfId="0" applyNumberFormat="1" applyFont="1"/>
    <xf numFmtId="0" fontId="20" fillId="0" borderId="28" xfId="0" applyFont="1" applyBorder="1"/>
    <xf numFmtId="0" fontId="23" fillId="3" borderId="29" xfId="0" applyFont="1" applyFill="1" applyBorder="1"/>
    <xf numFmtId="0" fontId="23" fillId="0" borderId="30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25" xfId="0" applyFont="1" applyBorder="1"/>
    <xf numFmtId="0" fontId="20" fillId="0" borderId="11" xfId="0" applyFont="1" applyBorder="1"/>
    <xf numFmtId="0" fontId="20" fillId="0" borderId="13" xfId="0" applyFont="1" applyBorder="1"/>
    <xf numFmtId="0" fontId="20" fillId="0" borderId="18" xfId="0" applyFont="1" applyBorder="1"/>
    <xf numFmtId="0" fontId="20" fillId="2" borderId="11" xfId="0" applyFont="1" applyFill="1" applyBorder="1"/>
    <xf numFmtId="0" fontId="23" fillId="0" borderId="11" xfId="0" applyFont="1" applyBorder="1"/>
    <xf numFmtId="0" fontId="23" fillId="0" borderId="13" xfId="0" applyFont="1" applyBorder="1"/>
    <xf numFmtId="6" fontId="20" fillId="0" borderId="13" xfId="0" applyNumberFormat="1" applyFont="1" applyBorder="1"/>
    <xf numFmtId="164" fontId="20" fillId="0" borderId="18" xfId="0" applyNumberFormat="1" applyFont="1" applyBorder="1"/>
    <xf numFmtId="165" fontId="20" fillId="0" borderId="0" xfId="0" applyNumberFormat="1" applyFont="1"/>
    <xf numFmtId="164" fontId="20" fillId="0" borderId="0" xfId="0" applyNumberFormat="1" applyFont="1"/>
    <xf numFmtId="164" fontId="20" fillId="0" borderId="13" xfId="0" applyNumberFormat="1" applyFont="1" applyBorder="1"/>
    <xf numFmtId="165" fontId="20" fillId="0" borderId="13" xfId="0" applyNumberFormat="1" applyFont="1" applyBorder="1"/>
    <xf numFmtId="6" fontId="20" fillId="0" borderId="0" xfId="0" applyNumberFormat="1" applyFont="1"/>
    <xf numFmtId="165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9" fontId="20" fillId="0" borderId="8" xfId="1" applyFont="1" applyBorder="1" applyAlignment="1">
      <alignment horizontal="left"/>
    </xf>
    <xf numFmtId="0" fontId="20" fillId="0" borderId="0" xfId="0" applyFont="1" applyAlignment="1">
      <alignment horizontal="center"/>
    </xf>
    <xf numFmtId="0" fontId="20" fillId="0" borderId="12" xfId="0" applyFont="1" applyBorder="1"/>
    <xf numFmtId="0" fontId="20" fillId="0" borderId="19" xfId="0" applyFont="1" applyBorder="1"/>
    <xf numFmtId="165" fontId="20" fillId="0" borderId="19" xfId="0" applyNumberFormat="1" applyFont="1" applyBorder="1"/>
    <xf numFmtId="0" fontId="20" fillId="0" borderId="9" xfId="0" applyFont="1" applyBorder="1"/>
    <xf numFmtId="0" fontId="20" fillId="0" borderId="10" xfId="0" applyFont="1" applyBorder="1"/>
    <xf numFmtId="0" fontId="21" fillId="0" borderId="15" xfId="0" applyFont="1" applyBorder="1"/>
    <xf numFmtId="0" fontId="21" fillId="0" borderId="16" xfId="0" applyFont="1" applyBorder="1"/>
    <xf numFmtId="165" fontId="20" fillId="0" borderId="16" xfId="0" applyNumberFormat="1" applyFont="1" applyBorder="1"/>
    <xf numFmtId="0" fontId="20" fillId="0" borderId="11" xfId="0" applyFont="1" applyBorder="1" applyAlignment="1">
      <alignment vertical="top"/>
    </xf>
    <xf numFmtId="0" fontId="20" fillId="0" borderId="13" xfId="0" applyFont="1" applyBorder="1" applyAlignment="1">
      <alignment vertical="top"/>
    </xf>
    <xf numFmtId="0" fontId="24" fillId="0" borderId="13" xfId="0" applyFont="1" applyBorder="1"/>
    <xf numFmtId="165" fontId="24" fillId="0" borderId="13" xfId="0" applyNumberFormat="1" applyFont="1" applyBorder="1"/>
    <xf numFmtId="0" fontId="20" fillId="2" borderId="11" xfId="0" applyFont="1" applyFill="1" applyBorder="1" applyAlignment="1">
      <alignment vertical="top"/>
    </xf>
    <xf numFmtId="0" fontId="20" fillId="0" borderId="27" xfId="0" applyFont="1" applyBorder="1" applyAlignment="1">
      <alignment vertical="top"/>
    </xf>
    <xf numFmtId="0" fontId="20" fillId="0" borderId="14" xfId="0" applyFont="1" applyBorder="1" applyAlignment="1">
      <alignment vertical="top"/>
    </xf>
    <xf numFmtId="0" fontId="20" fillId="0" borderId="14" xfId="0" applyFont="1" applyBorder="1"/>
    <xf numFmtId="165" fontId="20" fillId="0" borderId="14" xfId="0" applyNumberFormat="1" applyFont="1" applyBorder="1"/>
    <xf numFmtId="6" fontId="20" fillId="0" borderId="5" xfId="0" applyNumberFormat="1" applyFont="1" applyBorder="1"/>
    <xf numFmtId="165" fontId="20" fillId="0" borderId="5" xfId="0" applyNumberFormat="1" applyFont="1" applyBorder="1"/>
    <xf numFmtId="164" fontId="20" fillId="0" borderId="5" xfId="0" applyNumberFormat="1" applyFont="1" applyBorder="1"/>
    <xf numFmtId="0" fontId="21" fillId="0" borderId="22" xfId="0" applyFont="1" applyBorder="1"/>
    <xf numFmtId="0" fontId="20" fillId="0" borderId="21" xfId="0" applyFont="1" applyBorder="1"/>
    <xf numFmtId="0" fontId="21" fillId="0" borderId="30" xfId="0" applyFont="1" applyBorder="1"/>
    <xf numFmtId="165" fontId="20" fillId="0" borderId="30" xfId="0" applyNumberFormat="1" applyFont="1" applyBorder="1"/>
    <xf numFmtId="0" fontId="20" fillId="0" borderId="21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26" xfId="0" applyFont="1" applyBorder="1"/>
    <xf numFmtId="0" fontId="20" fillId="0" borderId="23" xfId="0" applyFont="1" applyBorder="1"/>
    <xf numFmtId="0" fontId="20" fillId="0" borderId="2" xfId="0" applyFont="1" applyBorder="1"/>
    <xf numFmtId="0" fontId="20" fillId="0" borderId="3" xfId="0" applyFont="1" applyBorder="1"/>
    <xf numFmtId="0" fontId="20" fillId="2" borderId="21" xfId="0" applyFont="1" applyFill="1" applyBorder="1"/>
    <xf numFmtId="166" fontId="20" fillId="0" borderId="18" xfId="2" applyNumberFormat="1" applyFont="1" applyFill="1" applyBorder="1"/>
    <xf numFmtId="1" fontId="20" fillId="0" borderId="18" xfId="0" applyNumberFormat="1" applyFont="1" applyBorder="1"/>
    <xf numFmtId="164" fontId="20" fillId="0" borderId="20" xfId="0" applyNumberFormat="1" applyFont="1" applyBorder="1"/>
    <xf numFmtId="164" fontId="20" fillId="0" borderId="16" xfId="0" applyNumberFormat="1" applyFont="1" applyBorder="1"/>
    <xf numFmtId="164" fontId="20" fillId="0" borderId="14" xfId="0" applyNumberFormat="1" applyFont="1" applyBorder="1"/>
    <xf numFmtId="164" fontId="20" fillId="0" borderId="17" xfId="0" applyNumberFormat="1" applyFont="1" applyBorder="1"/>
    <xf numFmtId="0" fontId="25" fillId="2" borderId="30" xfId="0" applyFont="1" applyFill="1" applyBorder="1"/>
    <xf numFmtId="0" fontId="12" fillId="0" borderId="11" xfId="0" applyFont="1" applyBorder="1" applyAlignment="1">
      <alignment vertical="top"/>
    </xf>
    <xf numFmtId="0" fontId="12" fillId="0" borderId="13" xfId="0" applyFont="1" applyBorder="1" applyAlignment="1">
      <alignment vertical="top"/>
    </xf>
    <xf numFmtId="0" fontId="0" fillId="0" borderId="1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4" borderId="11" xfId="0" applyFill="1" applyBorder="1"/>
    <xf numFmtId="0" fontId="0" fillId="4" borderId="27" xfId="0" applyFill="1" applyBorder="1"/>
    <xf numFmtId="0" fontId="0" fillId="4" borderId="11" xfId="0" applyFill="1" applyBorder="1" applyAlignment="1">
      <alignment vertical="top"/>
    </xf>
    <xf numFmtId="0" fontId="0" fillId="4" borderId="27" xfId="0" applyFill="1" applyBorder="1" applyAlignment="1">
      <alignment vertical="top"/>
    </xf>
    <xf numFmtId="0" fontId="0" fillId="4" borderId="32" xfId="0" applyFill="1" applyBorder="1" applyAlignment="1">
      <alignment vertical="top"/>
    </xf>
    <xf numFmtId="0" fontId="0" fillId="4" borderId="38" xfId="0" applyFill="1" applyBorder="1"/>
    <xf numFmtId="0" fontId="0" fillId="4" borderId="29" xfId="0" applyFill="1" applyBorder="1"/>
    <xf numFmtId="0" fontId="0" fillId="4" borderId="12" xfId="0" applyFill="1" applyBorder="1"/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0823-BF52-4B59-92C9-0B850AA44A4E}">
  <dimension ref="A1:W188"/>
  <sheetViews>
    <sheetView tabSelected="1" topLeftCell="B1" workbookViewId="0">
      <pane xSplit="4" ySplit="3" topLeftCell="F113" activePane="bottomRight" state="frozenSplit"/>
      <selection activeCell="B1" sqref="B1"/>
      <selection pane="topRight" activeCell="G1" sqref="G1"/>
      <selection pane="bottomLeft" activeCell="B6" sqref="B6"/>
      <selection pane="bottomRight" activeCell="D146" sqref="D146:E146"/>
    </sheetView>
  </sheetViews>
  <sheetFormatPr defaultRowHeight="14.4" x14ac:dyDescent="0.3"/>
  <cols>
    <col min="4" max="4" width="33.77734375" customWidth="1"/>
    <col min="5" max="5" width="30.33203125" customWidth="1"/>
    <col min="10" max="10" width="14.88671875" customWidth="1"/>
    <col min="15" max="15" width="9" customWidth="1"/>
    <col min="19" max="19" width="6.33203125" customWidth="1"/>
  </cols>
  <sheetData>
    <row r="1" spans="1:23" x14ac:dyDescent="0.3">
      <c r="D1" s="157"/>
      <c r="E1" s="158"/>
      <c r="F1" s="158"/>
      <c r="G1" s="158"/>
      <c r="H1" s="158"/>
      <c r="I1" s="158"/>
      <c r="J1" s="158"/>
      <c r="K1" s="158"/>
      <c r="L1" s="158"/>
      <c r="M1" s="158"/>
      <c r="N1" s="159"/>
      <c r="O1" s="262"/>
      <c r="P1" t="s">
        <v>102</v>
      </c>
    </row>
    <row r="2" spans="1:23" x14ac:dyDescent="0.3">
      <c r="D2" s="21"/>
      <c r="E2" s="19"/>
      <c r="F2" s="19"/>
      <c r="G2" s="19"/>
      <c r="H2" s="19" t="s">
        <v>108</v>
      </c>
      <c r="I2" s="20"/>
      <c r="J2" t="s">
        <v>4</v>
      </c>
      <c r="K2" s="19"/>
      <c r="L2" s="19"/>
      <c r="M2" s="20"/>
      <c r="N2" s="14"/>
      <c r="P2" t="s">
        <v>2</v>
      </c>
      <c r="Q2" t="s">
        <v>43</v>
      </c>
      <c r="R2" t="s">
        <v>44</v>
      </c>
    </row>
    <row r="3" spans="1:23" ht="28.8" x14ac:dyDescent="0.3">
      <c r="A3" s="160" t="s">
        <v>604</v>
      </c>
      <c r="B3" s="19" t="s">
        <v>603</v>
      </c>
      <c r="C3" s="19" t="s">
        <v>537</v>
      </c>
      <c r="D3" s="21" t="s">
        <v>2</v>
      </c>
      <c r="E3" s="19" t="s">
        <v>202</v>
      </c>
      <c r="F3" s="19" t="s">
        <v>201</v>
      </c>
      <c r="G3" t="s">
        <v>3</v>
      </c>
      <c r="H3" t="s">
        <v>43</v>
      </c>
      <c r="I3" t="s">
        <v>44</v>
      </c>
      <c r="N3" s="14"/>
      <c r="O3" s="26" t="s">
        <v>339</v>
      </c>
      <c r="W3" t="s">
        <v>274</v>
      </c>
    </row>
    <row r="4" spans="1:23" x14ac:dyDescent="0.3">
      <c r="A4" s="161"/>
      <c r="B4" s="161"/>
      <c r="C4" s="162"/>
      <c r="D4" s="163" t="s">
        <v>168</v>
      </c>
      <c r="E4" s="164"/>
      <c r="F4" s="165"/>
      <c r="G4" s="165"/>
      <c r="H4" s="165"/>
      <c r="I4" s="166"/>
      <c r="J4" s="167"/>
      <c r="K4" s="167"/>
      <c r="L4" s="167"/>
      <c r="M4" s="167"/>
      <c r="N4" s="168"/>
    </row>
    <row r="5" spans="1:23" x14ac:dyDescent="0.3">
      <c r="A5" s="161"/>
      <c r="B5" s="161" t="s">
        <v>157</v>
      </c>
      <c r="C5" s="162"/>
      <c r="D5" s="169" t="s">
        <v>165</v>
      </c>
      <c r="E5" s="165"/>
      <c r="F5" s="165">
        <v>1</v>
      </c>
      <c r="G5" s="165"/>
      <c r="H5" s="165"/>
      <c r="I5" s="166"/>
      <c r="J5" s="167"/>
      <c r="K5" s="167"/>
      <c r="L5" s="167"/>
      <c r="M5" s="167"/>
      <c r="N5" s="168"/>
    </row>
    <row r="6" spans="1:23" x14ac:dyDescent="0.3">
      <c r="A6" s="161"/>
      <c r="B6" s="161" t="s">
        <v>157</v>
      </c>
      <c r="C6" s="162"/>
      <c r="D6" s="169" t="s">
        <v>643</v>
      </c>
      <c r="E6" s="165"/>
      <c r="F6" s="165">
        <v>1</v>
      </c>
      <c r="G6" s="165"/>
      <c r="H6" s="165"/>
      <c r="I6" s="166"/>
      <c r="J6" s="167"/>
      <c r="K6" s="167"/>
      <c r="L6" s="167"/>
      <c r="M6" s="167"/>
      <c r="N6" s="168"/>
    </row>
    <row r="7" spans="1:23" x14ac:dyDescent="0.3">
      <c r="A7" s="161"/>
      <c r="B7" s="161"/>
      <c r="C7" s="162"/>
      <c r="D7" s="169" t="s">
        <v>427</v>
      </c>
      <c r="E7" s="165"/>
      <c r="F7" s="165"/>
      <c r="G7" s="165"/>
      <c r="H7" s="165"/>
      <c r="I7" s="166"/>
      <c r="J7" s="167"/>
      <c r="K7" s="167"/>
      <c r="L7" s="167"/>
      <c r="M7" s="167"/>
      <c r="N7" s="168"/>
    </row>
    <row r="8" spans="1:23" x14ac:dyDescent="0.3">
      <c r="A8" s="161"/>
      <c r="B8" s="161"/>
      <c r="C8" s="170"/>
      <c r="D8" s="170" t="s">
        <v>644</v>
      </c>
      <c r="E8" s="171"/>
      <c r="F8" s="165"/>
      <c r="G8" s="165"/>
      <c r="H8" s="165"/>
      <c r="I8" s="166"/>
      <c r="J8" s="167"/>
      <c r="K8" s="167"/>
      <c r="L8" s="167"/>
      <c r="M8" s="167"/>
      <c r="N8" s="168"/>
    </row>
    <row r="9" spans="1:23" x14ac:dyDescent="0.3">
      <c r="A9" s="161"/>
      <c r="B9" s="161" t="s">
        <v>157</v>
      </c>
      <c r="C9" s="170"/>
      <c r="D9" s="170" t="s">
        <v>501</v>
      </c>
      <c r="E9" s="171"/>
      <c r="F9" s="165"/>
      <c r="H9" s="165"/>
      <c r="I9" s="166"/>
      <c r="J9" s="167"/>
      <c r="K9" s="167"/>
      <c r="L9" s="167"/>
      <c r="M9" s="167"/>
      <c r="N9" s="168"/>
    </row>
    <row r="11" spans="1:23" x14ac:dyDescent="0.3">
      <c r="A11" s="161"/>
      <c r="B11" s="161" t="s">
        <v>157</v>
      </c>
      <c r="C11" s="172"/>
      <c r="D11" s="173" t="s">
        <v>429</v>
      </c>
      <c r="E11" s="169" t="s">
        <v>645</v>
      </c>
      <c r="F11" s="165"/>
      <c r="G11" s="174">
        <f>135*0.88</f>
        <v>118.8</v>
      </c>
      <c r="H11" s="165">
        <v>55</v>
      </c>
      <c r="I11" s="175">
        <f t="shared" ref="I11:I21" si="0">H11/16</f>
        <v>3.4375</v>
      </c>
      <c r="J11" s="167"/>
      <c r="K11" s="167"/>
      <c r="L11" s="167"/>
      <c r="M11" s="167"/>
      <c r="N11" s="168"/>
    </row>
    <row r="12" spans="1:23" x14ac:dyDescent="0.3">
      <c r="A12" s="161"/>
      <c r="B12" s="161" t="s">
        <v>157</v>
      </c>
      <c r="C12" s="176"/>
      <c r="D12" s="177"/>
      <c r="E12" s="169" t="s">
        <v>612</v>
      </c>
      <c r="F12" s="165"/>
      <c r="G12" s="174">
        <f>44*0.88</f>
        <v>38.72</v>
      </c>
      <c r="H12" s="178">
        <f>3.5+2.5</f>
        <v>6</v>
      </c>
      <c r="I12" s="175">
        <f t="shared" si="0"/>
        <v>0.375</v>
      </c>
      <c r="J12" s="167"/>
      <c r="K12" s="167"/>
      <c r="L12" s="167"/>
      <c r="M12" s="167"/>
      <c r="N12" s="168"/>
    </row>
    <row r="13" spans="1:23" x14ac:dyDescent="0.3">
      <c r="A13" s="161"/>
      <c r="B13" s="161" t="s">
        <v>157</v>
      </c>
      <c r="C13" s="179"/>
      <c r="D13" s="180"/>
      <c r="E13" s="169" t="s">
        <v>614</v>
      </c>
      <c r="F13" s="165">
        <v>2</v>
      </c>
      <c r="G13" s="174">
        <f>19*0.88</f>
        <v>16.72</v>
      </c>
      <c r="H13" s="178">
        <f>2.3*F13</f>
        <v>4.5999999999999996</v>
      </c>
      <c r="I13" s="175">
        <f t="shared" si="0"/>
        <v>0.28749999999999998</v>
      </c>
      <c r="J13" s="167" t="s">
        <v>615</v>
      </c>
      <c r="K13" s="167"/>
      <c r="L13" s="167"/>
      <c r="M13" s="167"/>
      <c r="N13" s="168"/>
    </row>
    <row r="14" spans="1:23" x14ac:dyDescent="0.3">
      <c r="A14" s="161"/>
      <c r="B14" s="161" t="s">
        <v>157</v>
      </c>
      <c r="C14" s="162"/>
      <c r="D14" s="169" t="s">
        <v>207</v>
      </c>
      <c r="E14" s="165" t="s">
        <v>630</v>
      </c>
      <c r="F14" s="165">
        <v>1</v>
      </c>
      <c r="G14" s="174">
        <v>34</v>
      </c>
      <c r="H14" s="178">
        <v>5.9</v>
      </c>
      <c r="I14" s="175">
        <f t="shared" si="0"/>
        <v>0.36875000000000002</v>
      </c>
      <c r="J14" s="267" t="s">
        <v>431</v>
      </c>
      <c r="K14" s="167"/>
      <c r="L14" s="167"/>
      <c r="M14" s="167"/>
      <c r="N14" s="168"/>
      <c r="R14" s="165"/>
    </row>
    <row r="15" spans="1:23" x14ac:dyDescent="0.3">
      <c r="A15" s="161"/>
      <c r="B15" s="161"/>
      <c r="C15" s="162"/>
      <c r="D15" s="169" t="s">
        <v>599</v>
      </c>
      <c r="E15" s="165" t="s">
        <v>434</v>
      </c>
      <c r="F15" s="165"/>
      <c r="G15" s="174"/>
      <c r="H15" s="178"/>
      <c r="I15" s="175"/>
      <c r="J15" s="267" t="s">
        <v>400</v>
      </c>
      <c r="K15" s="167"/>
      <c r="L15" s="167"/>
      <c r="M15" s="167"/>
      <c r="N15" s="168"/>
    </row>
    <row r="16" spans="1:23" x14ac:dyDescent="0.3">
      <c r="A16" s="161"/>
      <c r="B16" s="161"/>
      <c r="C16" s="162" t="s">
        <v>157</v>
      </c>
      <c r="D16" s="222" t="s">
        <v>600</v>
      </c>
      <c r="E16" s="165"/>
      <c r="F16" s="165"/>
      <c r="G16" s="174"/>
      <c r="H16" s="178"/>
      <c r="I16" s="175"/>
      <c r="J16" s="167"/>
      <c r="K16" s="167"/>
      <c r="L16" s="167"/>
      <c r="M16" s="167"/>
      <c r="N16" s="168"/>
    </row>
    <row r="17" spans="1:14" x14ac:dyDescent="0.3">
      <c r="A17" s="161"/>
      <c r="B17" s="161" t="s">
        <v>157</v>
      </c>
      <c r="C17" s="162"/>
      <c r="D17" s="367" t="s">
        <v>662</v>
      </c>
      <c r="E17" s="165" t="s">
        <v>663</v>
      </c>
      <c r="F17" s="165">
        <v>1</v>
      </c>
      <c r="G17" s="174"/>
      <c r="H17" s="178">
        <v>2</v>
      </c>
      <c r="I17" s="175">
        <f t="shared" si="0"/>
        <v>0.125</v>
      </c>
      <c r="J17" s="167"/>
      <c r="K17" s="167"/>
      <c r="L17" s="167"/>
      <c r="M17" s="167"/>
      <c r="N17" s="168"/>
    </row>
    <row r="18" spans="1:14" x14ac:dyDescent="0.3">
      <c r="A18" s="161"/>
      <c r="B18" s="161" t="s">
        <v>157</v>
      </c>
      <c r="C18" s="162"/>
      <c r="J18" s="167"/>
      <c r="K18" s="167"/>
      <c r="L18" s="167"/>
      <c r="M18" s="167"/>
      <c r="N18" s="168"/>
    </row>
    <row r="19" spans="1:14" x14ac:dyDescent="0.3">
      <c r="A19" s="161"/>
      <c r="B19" s="161" t="s">
        <v>157</v>
      </c>
      <c r="C19" s="162"/>
      <c r="D19" s="367" t="s">
        <v>216</v>
      </c>
      <c r="E19" s="165" t="s">
        <v>631</v>
      </c>
      <c r="F19" s="165">
        <v>1</v>
      </c>
      <c r="G19" s="183">
        <v>258</v>
      </c>
      <c r="H19" s="165">
        <v>30.6</v>
      </c>
      <c r="I19" s="175">
        <f t="shared" si="0"/>
        <v>1.9125000000000001</v>
      </c>
      <c r="J19" s="167"/>
      <c r="K19" s="167"/>
      <c r="L19" s="167"/>
      <c r="M19" s="167"/>
      <c r="N19" s="168"/>
    </row>
    <row r="20" spans="1:14" x14ac:dyDescent="0.3">
      <c r="A20" s="161" t="s">
        <v>157</v>
      </c>
      <c r="B20" s="161" t="s">
        <v>157</v>
      </c>
      <c r="C20" s="162"/>
      <c r="D20" s="367" t="s">
        <v>217</v>
      </c>
      <c r="E20" s="165" t="s">
        <v>71</v>
      </c>
      <c r="F20" s="165">
        <v>1</v>
      </c>
      <c r="G20" s="183">
        <v>35.89</v>
      </c>
      <c r="H20" s="165">
        <v>4</v>
      </c>
      <c r="I20" s="175">
        <f t="shared" si="0"/>
        <v>0.25</v>
      </c>
      <c r="J20" s="167"/>
      <c r="K20" s="167"/>
      <c r="L20" s="167"/>
      <c r="M20" s="167"/>
      <c r="N20" s="168"/>
    </row>
    <row r="21" spans="1:14" x14ac:dyDescent="0.3">
      <c r="A21" s="161"/>
      <c r="B21" s="161" t="s">
        <v>157</v>
      </c>
      <c r="C21" s="162"/>
      <c r="D21" s="367" t="s">
        <v>218</v>
      </c>
      <c r="E21" s="165" t="s">
        <v>616</v>
      </c>
      <c r="F21" s="165">
        <v>1</v>
      </c>
      <c r="G21" s="183">
        <v>143.96</v>
      </c>
      <c r="H21" s="165">
        <v>21</v>
      </c>
      <c r="I21" s="175">
        <f t="shared" si="0"/>
        <v>1.3125</v>
      </c>
      <c r="J21" s="167"/>
      <c r="K21" s="167"/>
      <c r="L21" s="167"/>
      <c r="M21" s="167"/>
      <c r="N21" s="168"/>
    </row>
    <row r="22" spans="1:14" ht="15" thickBot="1" x14ac:dyDescent="0.35">
      <c r="A22" s="161"/>
      <c r="B22" s="161" t="s">
        <v>157</v>
      </c>
      <c r="C22" s="170"/>
      <c r="D22" s="374" t="s">
        <v>250</v>
      </c>
      <c r="E22" s="185" t="s">
        <v>617</v>
      </c>
      <c r="F22" s="185">
        <v>5</v>
      </c>
      <c r="G22" s="183"/>
      <c r="H22" s="165"/>
      <c r="I22" s="175"/>
      <c r="J22" s="267" t="s">
        <v>450</v>
      </c>
      <c r="K22" s="186"/>
      <c r="L22" s="186"/>
      <c r="M22" s="186"/>
      <c r="N22" s="187"/>
    </row>
    <row r="23" spans="1:14" x14ac:dyDescent="0.3">
      <c r="A23" s="161"/>
      <c r="B23" s="161" t="s">
        <v>157</v>
      </c>
      <c r="C23" s="162"/>
      <c r="D23" s="367" t="s">
        <v>219</v>
      </c>
      <c r="E23" s="165" t="s">
        <v>69</v>
      </c>
      <c r="F23" s="165">
        <v>1</v>
      </c>
      <c r="G23" s="183">
        <v>49.95</v>
      </c>
      <c r="H23" s="165">
        <v>7.4</v>
      </c>
      <c r="I23" s="175">
        <f>H23/16</f>
        <v>0.46250000000000002</v>
      </c>
      <c r="J23" s="167"/>
      <c r="K23" s="167"/>
      <c r="L23" s="167"/>
      <c r="M23" s="167"/>
      <c r="N23" s="168"/>
    </row>
    <row r="24" spans="1:14" x14ac:dyDescent="0.3">
      <c r="A24" s="161"/>
      <c r="B24" s="161" t="s">
        <v>157</v>
      </c>
      <c r="C24" s="162"/>
      <c r="D24" s="367" t="s">
        <v>255</v>
      </c>
      <c r="E24" s="165" t="s">
        <v>406</v>
      </c>
      <c r="F24" s="165">
        <v>2</v>
      </c>
      <c r="G24" s="183"/>
      <c r="H24" s="165">
        <v>3.2</v>
      </c>
      <c r="I24" s="175">
        <f>H24/16*F24</f>
        <v>0.4</v>
      </c>
      <c r="J24" s="167"/>
      <c r="K24" s="167"/>
      <c r="L24" s="167"/>
      <c r="M24" s="167"/>
      <c r="N24" s="168"/>
    </row>
    <row r="25" spans="1:14" x14ac:dyDescent="0.3">
      <c r="A25" s="161"/>
      <c r="B25" s="161" t="s">
        <v>157</v>
      </c>
      <c r="C25" s="162"/>
      <c r="D25" s="367" t="s">
        <v>256</v>
      </c>
      <c r="E25" s="165" t="s">
        <v>69</v>
      </c>
      <c r="F25" s="165">
        <v>2</v>
      </c>
      <c r="G25" s="183"/>
      <c r="H25" s="165">
        <v>7.4</v>
      </c>
      <c r="I25" s="175">
        <f>H25/16*F25</f>
        <v>0.92500000000000004</v>
      </c>
      <c r="J25" s="167"/>
      <c r="K25" s="167"/>
      <c r="L25" s="167"/>
      <c r="M25" s="167"/>
      <c r="N25" s="168"/>
    </row>
    <row r="26" spans="1:14" x14ac:dyDescent="0.3">
      <c r="A26" s="161"/>
      <c r="B26" s="161"/>
      <c r="C26" s="162"/>
      <c r="D26" s="367" t="s">
        <v>159</v>
      </c>
      <c r="E26" s="361" t="s">
        <v>618</v>
      </c>
      <c r="F26" s="165">
        <v>1</v>
      </c>
      <c r="G26" s="183"/>
      <c r="H26" s="165"/>
      <c r="I26" s="175"/>
      <c r="J26" s="167"/>
      <c r="K26" s="167"/>
      <c r="L26" s="167"/>
      <c r="M26" s="167"/>
      <c r="N26" s="168"/>
    </row>
    <row r="27" spans="1:14" x14ac:dyDescent="0.3">
      <c r="A27" s="161"/>
      <c r="B27" s="161"/>
      <c r="C27" s="162"/>
      <c r="D27" s="367" t="s">
        <v>462</v>
      </c>
      <c r="E27" s="362"/>
      <c r="F27" s="165"/>
      <c r="G27" s="183"/>
      <c r="H27" s="165"/>
      <c r="I27" s="175"/>
      <c r="J27" s="167"/>
      <c r="K27" s="167"/>
      <c r="L27" s="167"/>
      <c r="M27" s="167"/>
      <c r="N27" s="168"/>
    </row>
    <row r="28" spans="1:14" x14ac:dyDescent="0.3">
      <c r="A28" s="161"/>
      <c r="B28" s="161"/>
      <c r="C28" s="162"/>
      <c r="D28" s="367" t="s">
        <v>465</v>
      </c>
      <c r="E28" s="362"/>
      <c r="F28" s="165">
        <v>1</v>
      </c>
      <c r="G28" s="183"/>
      <c r="H28" s="165"/>
      <c r="I28" s="175"/>
      <c r="J28" s="167"/>
      <c r="K28" s="167"/>
      <c r="L28" s="167"/>
      <c r="M28" s="167"/>
      <c r="N28" s="168"/>
    </row>
    <row r="29" spans="1:14" x14ac:dyDescent="0.3">
      <c r="A29" s="161"/>
      <c r="B29" s="161"/>
      <c r="C29" s="162"/>
      <c r="D29" s="367" t="s">
        <v>467</v>
      </c>
      <c r="E29" s="362"/>
      <c r="F29" s="165">
        <v>9</v>
      </c>
      <c r="G29" s="183"/>
      <c r="H29" s="165"/>
      <c r="I29" s="175"/>
      <c r="J29" s="167"/>
      <c r="K29" s="167"/>
      <c r="L29" s="167"/>
      <c r="M29" s="167"/>
      <c r="N29" s="168"/>
    </row>
    <row r="30" spans="1:14" x14ac:dyDescent="0.3">
      <c r="A30" s="161"/>
      <c r="B30" s="161"/>
      <c r="C30" s="162"/>
      <c r="D30" s="367" t="s">
        <v>160</v>
      </c>
      <c r="E30" s="363"/>
      <c r="F30" s="165">
        <v>1</v>
      </c>
      <c r="G30" s="183"/>
      <c r="H30" s="165">
        <v>8</v>
      </c>
      <c r="I30" s="175">
        <f>H30/16</f>
        <v>0.5</v>
      </c>
      <c r="J30" s="167"/>
      <c r="K30" s="167"/>
      <c r="L30" s="167"/>
      <c r="M30" s="167"/>
      <c r="N30" s="168"/>
    </row>
    <row r="31" spans="1:14" x14ac:dyDescent="0.3">
      <c r="A31" s="161"/>
      <c r="B31" s="161"/>
      <c r="C31" s="162"/>
      <c r="D31" s="367" t="s">
        <v>466</v>
      </c>
      <c r="E31" s="165"/>
      <c r="F31" s="165"/>
      <c r="G31" s="183"/>
      <c r="H31" s="165"/>
      <c r="I31" s="175"/>
      <c r="J31" s="267" t="s">
        <v>469</v>
      </c>
      <c r="K31" s="167"/>
      <c r="L31" s="167"/>
      <c r="M31" s="167"/>
      <c r="N31" s="168"/>
    </row>
    <row r="32" spans="1:14" x14ac:dyDescent="0.3">
      <c r="A32" s="161" t="s">
        <v>157</v>
      </c>
      <c r="B32" s="161" t="s">
        <v>157</v>
      </c>
      <c r="C32" s="162"/>
      <c r="D32" s="367" t="s">
        <v>646</v>
      </c>
      <c r="E32" s="165"/>
      <c r="F32" s="165"/>
      <c r="G32" s="183"/>
      <c r="H32" s="165"/>
      <c r="I32" s="175"/>
      <c r="J32" s="167" t="s">
        <v>471</v>
      </c>
      <c r="K32" s="167"/>
      <c r="L32" s="167"/>
      <c r="M32" s="167"/>
      <c r="N32" s="168"/>
    </row>
    <row r="33" spans="1:15" x14ac:dyDescent="0.3">
      <c r="J33" s="167"/>
      <c r="K33" s="167"/>
      <c r="L33" s="167"/>
      <c r="M33" s="167"/>
      <c r="N33" s="168"/>
      <c r="O33" t="s">
        <v>432</v>
      </c>
    </row>
    <row r="34" spans="1:15" x14ac:dyDescent="0.3">
      <c r="A34" s="161"/>
      <c r="B34" s="161"/>
      <c r="C34" s="162"/>
      <c r="D34" s="169" t="s">
        <v>220</v>
      </c>
      <c r="E34" s="165" t="s">
        <v>124</v>
      </c>
      <c r="F34" s="165">
        <v>1</v>
      </c>
      <c r="G34" s="165"/>
      <c r="H34" s="165">
        <f>I34*16</f>
        <v>104</v>
      </c>
      <c r="I34" s="166">
        <v>6.5</v>
      </c>
      <c r="J34" s="167"/>
      <c r="K34" s="167"/>
      <c r="L34" s="167"/>
      <c r="M34" s="167"/>
      <c r="N34" s="168"/>
    </row>
    <row r="35" spans="1:15" s="79" customFormat="1" x14ac:dyDescent="0.3">
      <c r="A35" s="268"/>
      <c r="B35" s="268"/>
      <c r="C35" s="269"/>
      <c r="D35" s="181" t="s">
        <v>491</v>
      </c>
      <c r="E35" s="182" t="s">
        <v>490</v>
      </c>
      <c r="F35" s="182"/>
      <c r="G35" s="182"/>
      <c r="H35" s="182">
        <v>40</v>
      </c>
      <c r="I35" s="270"/>
      <c r="J35" s="271"/>
      <c r="K35" s="271"/>
      <c r="L35" s="271"/>
      <c r="M35" s="271"/>
      <c r="N35" s="272"/>
    </row>
    <row r="36" spans="1:15" s="79" customFormat="1" x14ac:dyDescent="0.3">
      <c r="A36" s="268"/>
      <c r="B36" s="268"/>
      <c r="C36" s="269"/>
      <c r="D36" s="181" t="s">
        <v>493</v>
      </c>
      <c r="E36" s="182" t="s">
        <v>494</v>
      </c>
      <c r="F36" s="182">
        <v>15</v>
      </c>
      <c r="G36" s="182"/>
      <c r="H36" s="182"/>
      <c r="I36" s="270"/>
      <c r="J36" s="271"/>
      <c r="K36" s="271"/>
      <c r="L36" s="271"/>
      <c r="M36" s="271"/>
      <c r="N36" s="272"/>
    </row>
    <row r="37" spans="1:15" x14ac:dyDescent="0.3">
      <c r="A37" s="161"/>
      <c r="B37" s="161"/>
      <c r="C37" s="162"/>
      <c r="D37" s="367" t="s">
        <v>221</v>
      </c>
      <c r="E37" s="165" t="s">
        <v>619</v>
      </c>
      <c r="F37" s="165">
        <v>1</v>
      </c>
      <c r="G37" s="165"/>
      <c r="H37" s="165">
        <v>15.9</v>
      </c>
      <c r="I37" s="175">
        <f>H37/16</f>
        <v>0.99375000000000002</v>
      </c>
      <c r="J37" s="167"/>
      <c r="K37" s="167"/>
      <c r="L37" s="167"/>
      <c r="M37" s="167"/>
      <c r="N37" s="168"/>
    </row>
    <row r="38" spans="1:15" x14ac:dyDescent="0.3">
      <c r="A38" s="161"/>
      <c r="B38" s="161"/>
      <c r="C38" s="162"/>
      <c r="D38" s="367" t="s">
        <v>620</v>
      </c>
      <c r="E38" s="165" t="s">
        <v>664</v>
      </c>
      <c r="F38" s="165"/>
      <c r="G38" s="165"/>
      <c r="H38" s="165"/>
      <c r="I38" s="175"/>
      <c r="J38" s="167"/>
      <c r="K38" s="167"/>
      <c r="L38" s="167"/>
      <c r="M38" s="167"/>
      <c r="N38" s="168"/>
    </row>
    <row r="39" spans="1:15" x14ac:dyDescent="0.3">
      <c r="A39" s="161"/>
      <c r="B39" s="161"/>
      <c r="C39" s="162"/>
      <c r="D39" s="169" t="s">
        <v>492</v>
      </c>
      <c r="E39" s="165" t="s">
        <v>166</v>
      </c>
      <c r="F39" s="165">
        <v>10</v>
      </c>
      <c r="G39" s="165"/>
      <c r="H39" s="165"/>
      <c r="I39" s="175">
        <f>H39/16</f>
        <v>0</v>
      </c>
      <c r="J39" s="167" t="s">
        <v>436</v>
      </c>
      <c r="K39" s="167"/>
      <c r="L39" s="167"/>
      <c r="M39" s="167"/>
      <c r="N39" s="168"/>
    </row>
    <row r="40" spans="1:15" x14ac:dyDescent="0.3">
      <c r="A40" s="161"/>
      <c r="B40" s="161"/>
      <c r="C40" s="162"/>
      <c r="D40" s="181" t="s">
        <v>146</v>
      </c>
      <c r="E40" s="165"/>
      <c r="F40" s="165"/>
      <c r="G40" s="165"/>
      <c r="H40" s="165"/>
      <c r="I40" s="166"/>
      <c r="J40" s="167"/>
      <c r="K40" s="167"/>
      <c r="L40" s="167"/>
      <c r="M40" s="167"/>
      <c r="N40" s="168"/>
    </row>
    <row r="41" spans="1:15" x14ac:dyDescent="0.3">
      <c r="A41" s="161" t="s">
        <v>157</v>
      </c>
      <c r="B41" s="161" t="s">
        <v>157</v>
      </c>
      <c r="C41" s="162"/>
      <c r="D41" s="367" t="s">
        <v>409</v>
      </c>
      <c r="E41" s="165" t="s">
        <v>665</v>
      </c>
      <c r="F41" s="165"/>
      <c r="G41" s="165"/>
      <c r="H41" s="165"/>
      <c r="I41" s="166"/>
      <c r="J41" s="167"/>
      <c r="K41" s="167"/>
      <c r="L41" s="167"/>
      <c r="M41" s="167"/>
      <c r="N41" s="168"/>
    </row>
    <row r="42" spans="1:15" x14ac:dyDescent="0.3">
      <c r="A42" s="161"/>
      <c r="B42" s="161"/>
      <c r="C42" s="162"/>
      <c r="D42" s="367" t="s">
        <v>413</v>
      </c>
      <c r="E42" s="165" t="s">
        <v>622</v>
      </c>
      <c r="F42" s="165"/>
      <c r="G42" s="165"/>
      <c r="H42" s="165">
        <v>7.5</v>
      </c>
      <c r="I42" s="175">
        <f>H42/16</f>
        <v>0.46875</v>
      </c>
      <c r="J42" s="167"/>
      <c r="K42" s="167"/>
      <c r="L42" s="167"/>
      <c r="M42" s="167"/>
      <c r="N42" s="168"/>
    </row>
    <row r="43" spans="1:15" x14ac:dyDescent="0.3">
      <c r="A43" s="161"/>
      <c r="B43" s="161" t="s">
        <v>157</v>
      </c>
      <c r="C43" s="162"/>
      <c r="D43" s="367" t="s">
        <v>134</v>
      </c>
      <c r="E43" s="165" t="s">
        <v>623</v>
      </c>
      <c r="F43" s="165"/>
      <c r="G43" s="183">
        <v>151</v>
      </c>
      <c r="H43" s="165">
        <v>15.9</v>
      </c>
      <c r="I43" s="175">
        <f>H43/16</f>
        <v>0.99375000000000002</v>
      </c>
      <c r="J43" s="167"/>
      <c r="K43" s="167"/>
      <c r="L43" s="167"/>
      <c r="M43" s="167"/>
      <c r="N43" s="168"/>
    </row>
    <row r="44" spans="1:15" x14ac:dyDescent="0.3">
      <c r="A44" s="161"/>
      <c r="B44" s="161" t="s">
        <v>157</v>
      </c>
      <c r="C44" s="162"/>
      <c r="D44" s="367" t="s">
        <v>628</v>
      </c>
      <c r="E44" s="165" t="s">
        <v>629</v>
      </c>
      <c r="F44" s="165"/>
      <c r="G44" s="183"/>
      <c r="H44" s="165"/>
      <c r="I44" s="175"/>
      <c r="J44" s="167"/>
      <c r="K44" s="167"/>
      <c r="L44" s="167"/>
      <c r="M44" s="167"/>
      <c r="N44" s="168"/>
    </row>
    <row r="45" spans="1:15" x14ac:dyDescent="0.3">
      <c r="A45" s="161" t="s">
        <v>157</v>
      </c>
      <c r="B45" s="161"/>
      <c r="C45" s="162"/>
      <c r="D45" s="367" t="s">
        <v>411</v>
      </c>
      <c r="E45" s="165" t="s">
        <v>647</v>
      </c>
      <c r="F45" s="165"/>
      <c r="G45" s="183"/>
      <c r="H45" s="165">
        <v>48.3</v>
      </c>
      <c r="I45" s="175">
        <f>H45/16</f>
        <v>3.0187499999999998</v>
      </c>
      <c r="J45" s="167"/>
      <c r="K45" s="167"/>
      <c r="L45" s="167"/>
      <c r="M45" s="167"/>
      <c r="N45" s="168"/>
    </row>
    <row r="46" spans="1:15" x14ac:dyDescent="0.3">
      <c r="A46" s="161" t="s">
        <v>157</v>
      </c>
      <c r="B46" s="161"/>
      <c r="C46" s="162"/>
      <c r="D46" s="367" t="s">
        <v>439</v>
      </c>
      <c r="E46" s="165" t="s">
        <v>666</v>
      </c>
      <c r="F46" s="165"/>
      <c r="G46" s="183"/>
      <c r="H46" s="165"/>
      <c r="I46" s="175"/>
      <c r="J46" s="167"/>
      <c r="K46" s="167"/>
      <c r="L46" s="167"/>
      <c r="M46" s="167"/>
      <c r="N46" s="168"/>
    </row>
    <row r="47" spans="1:15" ht="16.8" x14ac:dyDescent="0.3">
      <c r="A47" s="161" t="s">
        <v>157</v>
      </c>
      <c r="B47" s="161"/>
      <c r="C47" s="162"/>
      <c r="D47" s="367" t="s">
        <v>496</v>
      </c>
      <c r="E47" s="165" t="s">
        <v>648</v>
      </c>
      <c r="F47" s="165"/>
      <c r="G47" s="183"/>
      <c r="H47" s="165"/>
      <c r="I47" s="175"/>
      <c r="J47" s="167"/>
      <c r="K47" s="167"/>
      <c r="L47" s="167"/>
      <c r="M47" s="167"/>
      <c r="N47" s="168"/>
      <c r="O47" s="263" t="s">
        <v>495</v>
      </c>
    </row>
    <row r="48" spans="1:15" ht="16.8" x14ac:dyDescent="0.3">
      <c r="A48" s="161" t="s">
        <v>157</v>
      </c>
      <c r="B48" s="161"/>
      <c r="C48" s="162"/>
      <c r="D48" s="367" t="s">
        <v>497</v>
      </c>
      <c r="E48" s="165" t="s">
        <v>648</v>
      </c>
      <c r="F48" s="165"/>
      <c r="G48" s="183"/>
      <c r="H48" s="165"/>
      <c r="I48" s="175"/>
      <c r="J48" s="167"/>
      <c r="K48" s="167"/>
      <c r="L48" s="167"/>
      <c r="M48" s="167"/>
      <c r="N48" s="168"/>
      <c r="O48" s="263"/>
    </row>
    <row r="49" spans="1:15" x14ac:dyDescent="0.3">
      <c r="A49" s="161" t="s">
        <v>157</v>
      </c>
      <c r="B49" s="161"/>
      <c r="C49" s="162"/>
      <c r="D49" s="367" t="s">
        <v>229</v>
      </c>
      <c r="E49" s="165" t="s">
        <v>626</v>
      </c>
      <c r="F49" s="165"/>
      <c r="G49" s="183">
        <v>144</v>
      </c>
      <c r="H49" s="165">
        <v>14</v>
      </c>
      <c r="I49" s="175">
        <f>H49/16</f>
        <v>0.875</v>
      </c>
      <c r="J49" s="167"/>
      <c r="K49" s="167"/>
      <c r="L49" s="167"/>
      <c r="M49" s="167"/>
      <c r="N49" s="168"/>
    </row>
    <row r="50" spans="1:15" x14ac:dyDescent="0.3">
      <c r="A50" s="161"/>
      <c r="B50" s="161"/>
      <c r="C50" s="162"/>
      <c r="D50" s="367" t="s">
        <v>674</v>
      </c>
      <c r="E50" s="165" t="s">
        <v>440</v>
      </c>
      <c r="F50" s="261">
        <v>1</v>
      </c>
      <c r="G50" s="183">
        <v>4.95</v>
      </c>
      <c r="H50" s="165">
        <v>13.4</v>
      </c>
      <c r="I50" s="175">
        <f>H50/16</f>
        <v>0.83750000000000002</v>
      </c>
      <c r="J50" s="167"/>
      <c r="K50" s="167"/>
      <c r="L50" s="167"/>
      <c r="M50" s="167"/>
      <c r="N50" s="168"/>
    </row>
    <row r="51" spans="1:15" x14ac:dyDescent="0.3">
      <c r="A51" s="161"/>
      <c r="B51" s="161"/>
      <c r="C51" s="162"/>
      <c r="D51" s="367" t="s">
        <v>674</v>
      </c>
      <c r="E51" s="165" t="s">
        <v>673</v>
      </c>
      <c r="F51" s="261">
        <v>1</v>
      </c>
      <c r="G51" s="183"/>
      <c r="H51" s="165"/>
      <c r="I51" s="175"/>
      <c r="J51" s="167"/>
      <c r="K51" s="167"/>
      <c r="L51" s="167"/>
      <c r="M51" s="167"/>
      <c r="N51" s="168"/>
    </row>
    <row r="52" spans="1:15" x14ac:dyDescent="0.3">
      <c r="A52" s="161" t="s">
        <v>157</v>
      </c>
      <c r="B52" s="161" t="s">
        <v>157</v>
      </c>
      <c r="C52" s="162"/>
      <c r="D52" s="367" t="s">
        <v>225</v>
      </c>
      <c r="E52" s="165" t="s">
        <v>627</v>
      </c>
      <c r="F52" s="165"/>
      <c r="G52" s="183">
        <v>8.9499999999999993</v>
      </c>
      <c r="H52" s="165">
        <v>0.63</v>
      </c>
      <c r="I52" s="175">
        <f>H52/16</f>
        <v>3.9375E-2</v>
      </c>
      <c r="J52" s="167"/>
      <c r="K52" s="167"/>
      <c r="L52" s="167"/>
      <c r="M52" s="167"/>
      <c r="N52" s="168"/>
    </row>
    <row r="53" spans="1:15" s="79" customFormat="1" x14ac:dyDescent="0.3">
      <c r="A53" s="268"/>
      <c r="B53" s="268"/>
      <c r="C53" s="269"/>
      <c r="D53" s="367" t="s">
        <v>671</v>
      </c>
      <c r="E53" s="165" t="s">
        <v>672</v>
      </c>
      <c r="F53" s="182"/>
      <c r="G53" s="211"/>
      <c r="H53" s="182"/>
      <c r="I53" s="273"/>
      <c r="J53" s="274" t="s">
        <v>441</v>
      </c>
      <c r="K53" s="271"/>
      <c r="L53" s="271"/>
      <c r="M53" s="271"/>
      <c r="N53" s="272"/>
    </row>
    <row r="54" spans="1:15" x14ac:dyDescent="0.3">
      <c r="A54" s="161" t="s">
        <v>157</v>
      </c>
      <c r="B54" s="161" t="s">
        <v>157</v>
      </c>
      <c r="C54" s="162"/>
      <c r="D54" s="367" t="s">
        <v>227</v>
      </c>
      <c r="E54" s="165" t="s">
        <v>442</v>
      </c>
      <c r="F54" s="165"/>
      <c r="G54" s="183">
        <v>19.95</v>
      </c>
      <c r="H54" s="165">
        <v>2.7</v>
      </c>
      <c r="I54" s="175">
        <f>H54/16</f>
        <v>0.16875000000000001</v>
      </c>
      <c r="J54" s="267" t="s">
        <v>443</v>
      </c>
      <c r="K54" s="167"/>
      <c r="L54" s="167"/>
      <c r="M54" s="167"/>
      <c r="N54" s="168"/>
    </row>
    <row r="55" spans="1:15" x14ac:dyDescent="0.3">
      <c r="A55" s="161" t="s">
        <v>157</v>
      </c>
      <c r="B55" s="161" t="s">
        <v>157</v>
      </c>
      <c r="C55" s="162" t="s">
        <v>157</v>
      </c>
      <c r="D55" s="367" t="s">
        <v>72</v>
      </c>
      <c r="E55" s="165"/>
      <c r="F55" s="165"/>
      <c r="G55" s="183">
        <v>5</v>
      </c>
      <c r="H55" s="165">
        <v>4</v>
      </c>
      <c r="I55" s="175">
        <f>H55/16</f>
        <v>0.25</v>
      </c>
      <c r="J55" s="167"/>
      <c r="K55" s="167"/>
      <c r="L55" s="167"/>
      <c r="M55" s="167"/>
      <c r="N55" s="168"/>
    </row>
    <row r="56" spans="1:15" x14ac:dyDescent="0.3">
      <c r="A56" s="161"/>
      <c r="B56" s="161" t="s">
        <v>157</v>
      </c>
      <c r="C56" s="162"/>
      <c r="D56" s="169" t="s">
        <v>446</v>
      </c>
      <c r="E56" s="222" t="s">
        <v>83</v>
      </c>
      <c r="F56" s="165"/>
      <c r="G56" s="183">
        <v>59.89</v>
      </c>
      <c r="H56" s="165">
        <v>5</v>
      </c>
      <c r="I56" s="175">
        <f>H56/16</f>
        <v>0.3125</v>
      </c>
      <c r="J56" s="167"/>
      <c r="K56" s="167"/>
      <c r="L56" s="167"/>
      <c r="M56" s="167"/>
      <c r="N56" s="168"/>
    </row>
    <row r="57" spans="1:15" x14ac:dyDescent="0.3">
      <c r="A57" s="161"/>
      <c r="B57" s="161"/>
      <c r="C57" s="162"/>
      <c r="D57" s="181" t="s">
        <v>180</v>
      </c>
      <c r="E57" s="182" t="s">
        <v>447</v>
      </c>
      <c r="F57" s="165"/>
      <c r="G57" s="183"/>
      <c r="H57" s="165"/>
      <c r="I57" s="175"/>
      <c r="J57" s="167"/>
      <c r="K57" s="167"/>
      <c r="L57" s="167"/>
      <c r="M57" s="167"/>
      <c r="N57" s="168"/>
    </row>
    <row r="58" spans="1:15" x14ac:dyDescent="0.3">
      <c r="A58" s="161" t="s">
        <v>157</v>
      </c>
      <c r="B58" s="161"/>
      <c r="C58" s="162"/>
      <c r="D58" s="367" t="s">
        <v>142</v>
      </c>
      <c r="E58" s="165" t="s">
        <v>632</v>
      </c>
      <c r="F58" s="165"/>
      <c r="G58" s="183"/>
      <c r="H58" s="165"/>
      <c r="I58" s="175"/>
      <c r="J58" s="167"/>
      <c r="K58" s="167"/>
      <c r="L58" s="167"/>
      <c r="M58" s="167"/>
      <c r="N58" s="168"/>
    </row>
    <row r="59" spans="1:15" x14ac:dyDescent="0.3">
      <c r="A59" s="161" t="s">
        <v>157</v>
      </c>
      <c r="B59" s="161"/>
      <c r="C59" s="162"/>
      <c r="D59" s="367" t="s">
        <v>143</v>
      </c>
      <c r="E59" s="165"/>
      <c r="F59" s="165">
        <v>7</v>
      </c>
      <c r="G59" s="183"/>
      <c r="H59" s="165"/>
      <c r="I59" s="175"/>
      <c r="J59" s="167"/>
      <c r="K59" s="167"/>
      <c r="L59" s="167"/>
      <c r="M59" s="167"/>
      <c r="N59" s="168"/>
    </row>
    <row r="60" spans="1:15" x14ac:dyDescent="0.3">
      <c r="A60" s="161" t="s">
        <v>157</v>
      </c>
      <c r="B60" s="161"/>
      <c r="C60" s="162"/>
      <c r="D60" s="367" t="s">
        <v>474</v>
      </c>
      <c r="E60" s="165" t="s">
        <v>495</v>
      </c>
      <c r="F60" s="165">
        <v>3</v>
      </c>
      <c r="G60" s="165"/>
      <c r="H60" s="165"/>
      <c r="I60" s="175"/>
      <c r="J60" s="267" t="s">
        <v>476</v>
      </c>
      <c r="K60" s="167"/>
      <c r="L60" s="167"/>
      <c r="M60" s="167"/>
      <c r="N60" s="168"/>
    </row>
    <row r="61" spans="1:15" ht="28.8" x14ac:dyDescent="0.3">
      <c r="A61" s="161" t="s">
        <v>157</v>
      </c>
      <c r="B61" s="161"/>
      <c r="C61" s="162"/>
      <c r="D61" s="367" t="s">
        <v>328</v>
      </c>
      <c r="E61" s="165" t="s">
        <v>675</v>
      </c>
      <c r="F61" s="165">
        <v>6</v>
      </c>
      <c r="G61" s="165"/>
      <c r="H61" s="165">
        <v>0.7</v>
      </c>
      <c r="I61" s="175">
        <f>H61/16</f>
        <v>4.3749999999999997E-2</v>
      </c>
      <c r="J61" s="267" t="s">
        <v>606</v>
      </c>
      <c r="K61" s="167"/>
      <c r="L61" s="167"/>
      <c r="M61" s="167"/>
      <c r="N61" s="168"/>
      <c r="O61" s="26" t="s">
        <v>607</v>
      </c>
    </row>
    <row r="62" spans="1:15" ht="15" thickBot="1" x14ac:dyDescent="0.35">
      <c r="A62" s="161"/>
      <c r="B62" s="161" t="s">
        <v>157</v>
      </c>
      <c r="C62" s="170"/>
      <c r="D62" s="368" t="s">
        <v>120</v>
      </c>
      <c r="E62" s="189" t="s">
        <v>649</v>
      </c>
      <c r="F62" s="189">
        <v>1</v>
      </c>
      <c r="G62" s="190"/>
      <c r="H62" s="189"/>
      <c r="I62" s="191"/>
      <c r="J62" s="267" t="s">
        <v>478</v>
      </c>
      <c r="K62" s="167"/>
      <c r="L62" s="167"/>
      <c r="M62" s="167"/>
      <c r="N62" s="168"/>
    </row>
    <row r="63" spans="1:15" x14ac:dyDescent="0.3">
      <c r="A63" s="162"/>
      <c r="B63" s="162"/>
      <c r="C63" s="192"/>
      <c r="D63" s="193" t="s">
        <v>449</v>
      </c>
      <c r="E63" s="194"/>
      <c r="F63" s="194"/>
      <c r="G63" s="195"/>
      <c r="H63" s="194"/>
      <c r="I63" s="196"/>
      <c r="J63" s="167"/>
      <c r="K63" s="167"/>
      <c r="L63" s="167"/>
      <c r="M63" s="167"/>
      <c r="N63" s="168"/>
    </row>
    <row r="64" spans="1:15" s="79" customFormat="1" x14ac:dyDescent="0.3">
      <c r="A64" s="269"/>
      <c r="B64" s="269" t="s">
        <v>157</v>
      </c>
      <c r="C64" s="269"/>
      <c r="D64" s="181" t="s">
        <v>277</v>
      </c>
      <c r="E64" s="182" t="s">
        <v>564</v>
      </c>
      <c r="F64" s="182">
        <v>1</v>
      </c>
      <c r="G64" s="211">
        <v>4.95</v>
      </c>
      <c r="H64" s="182"/>
      <c r="I64" s="273"/>
      <c r="J64" s="271"/>
      <c r="K64" s="271"/>
      <c r="L64" s="271"/>
      <c r="M64" s="271"/>
      <c r="N64" s="272"/>
    </row>
    <row r="65" spans="1:14" s="79" customFormat="1" x14ac:dyDescent="0.3">
      <c r="A65" s="269"/>
      <c r="B65" s="269"/>
      <c r="C65" s="269"/>
      <c r="D65" s="181" t="s">
        <v>139</v>
      </c>
      <c r="E65" s="182" t="s">
        <v>564</v>
      </c>
      <c r="F65" s="182">
        <v>1</v>
      </c>
      <c r="G65" s="211"/>
      <c r="H65" s="182"/>
      <c r="I65" s="273"/>
      <c r="J65" s="271"/>
      <c r="K65" s="271"/>
      <c r="L65" s="271"/>
      <c r="M65" s="271"/>
      <c r="N65" s="272"/>
    </row>
    <row r="66" spans="1:14" x14ac:dyDescent="0.3">
      <c r="A66" s="162"/>
      <c r="B66" s="162" t="s">
        <v>157</v>
      </c>
      <c r="C66" s="162"/>
      <c r="D66" s="169" t="s">
        <v>144</v>
      </c>
      <c r="E66" s="165"/>
      <c r="F66" s="165">
        <v>2</v>
      </c>
      <c r="G66" s="183"/>
      <c r="H66" s="165"/>
      <c r="I66" s="175"/>
      <c r="J66" s="167"/>
      <c r="K66" s="167"/>
      <c r="L66" s="167"/>
      <c r="M66" s="167"/>
      <c r="N66" s="168"/>
    </row>
    <row r="67" spans="1:14" s="79" customFormat="1" x14ac:dyDescent="0.3">
      <c r="A67" s="269"/>
      <c r="B67" s="269" t="s">
        <v>157</v>
      </c>
      <c r="C67" s="269"/>
      <c r="D67" s="181" t="s">
        <v>140</v>
      </c>
      <c r="E67" s="182"/>
      <c r="F67" s="182">
        <v>28</v>
      </c>
      <c r="G67" s="211"/>
      <c r="H67" s="182"/>
      <c r="I67" s="273"/>
      <c r="J67" s="271"/>
      <c r="K67" s="271"/>
      <c r="L67" s="271"/>
      <c r="M67" s="271"/>
      <c r="N67" s="272"/>
    </row>
    <row r="68" spans="1:14" x14ac:dyDescent="0.3">
      <c r="A68" s="162"/>
      <c r="B68" s="162" t="s">
        <v>157</v>
      </c>
      <c r="C68" s="162"/>
      <c r="D68" s="367" t="s">
        <v>204</v>
      </c>
      <c r="E68" s="165"/>
      <c r="F68" s="165">
        <v>1</v>
      </c>
      <c r="G68" s="183"/>
      <c r="H68" s="165"/>
      <c r="I68" s="175"/>
      <c r="J68" s="167"/>
      <c r="K68" s="167"/>
      <c r="L68" s="167"/>
      <c r="M68" s="167"/>
      <c r="N68" s="168"/>
    </row>
    <row r="69" spans="1:14" x14ac:dyDescent="0.3">
      <c r="A69" s="162"/>
      <c r="B69" s="162" t="s">
        <v>157</v>
      </c>
      <c r="C69" s="162"/>
      <c r="D69" s="367" t="s">
        <v>231</v>
      </c>
      <c r="E69" s="165" t="s">
        <v>564</v>
      </c>
      <c r="F69" s="165">
        <v>1</v>
      </c>
      <c r="G69" s="183"/>
      <c r="H69" s="165"/>
      <c r="I69" s="175"/>
      <c r="J69" s="267" t="s">
        <v>454</v>
      </c>
      <c r="K69" s="167"/>
      <c r="L69" s="167"/>
      <c r="M69" s="167"/>
      <c r="N69" s="168"/>
    </row>
    <row r="70" spans="1:14" x14ac:dyDescent="0.3">
      <c r="A70" s="162"/>
      <c r="B70" s="162" t="s">
        <v>157</v>
      </c>
      <c r="C70" s="162" t="s">
        <v>167</v>
      </c>
      <c r="D70" s="367" t="s">
        <v>455</v>
      </c>
      <c r="E70" s="165" t="s">
        <v>633</v>
      </c>
      <c r="F70" s="165">
        <v>1</v>
      </c>
      <c r="G70" s="183"/>
      <c r="H70" s="165"/>
      <c r="I70" s="175"/>
      <c r="J70" s="167" t="s">
        <v>457</v>
      </c>
      <c r="K70" s="167"/>
      <c r="L70" s="167"/>
      <c r="M70" s="167"/>
      <c r="N70" s="168"/>
    </row>
    <row r="71" spans="1:14" x14ac:dyDescent="0.3">
      <c r="A71" s="162"/>
      <c r="B71" s="162" t="s">
        <v>157</v>
      </c>
      <c r="C71" s="162" t="s">
        <v>167</v>
      </c>
      <c r="D71" s="367" t="s">
        <v>456</v>
      </c>
      <c r="E71" s="165" t="s">
        <v>566</v>
      </c>
      <c r="F71" s="165">
        <v>1</v>
      </c>
      <c r="G71" s="183"/>
      <c r="H71" s="165"/>
      <c r="I71" s="175"/>
      <c r="J71" s="167" t="s">
        <v>457</v>
      </c>
      <c r="K71" s="167"/>
      <c r="L71" s="167"/>
      <c r="M71" s="167"/>
      <c r="N71" s="168"/>
    </row>
    <row r="72" spans="1:14" x14ac:dyDescent="0.3">
      <c r="A72" s="162"/>
      <c r="B72" s="162"/>
      <c r="C72" s="162"/>
      <c r="D72" s="169" t="s">
        <v>198</v>
      </c>
      <c r="E72" s="165"/>
      <c r="F72" s="165"/>
      <c r="G72" s="183"/>
      <c r="H72" s="165"/>
      <c r="I72" s="175"/>
      <c r="J72" s="167" t="s">
        <v>451</v>
      </c>
      <c r="K72" s="167"/>
      <c r="L72" s="167"/>
      <c r="M72" s="167"/>
      <c r="N72" s="168"/>
    </row>
    <row r="73" spans="1:14" x14ac:dyDescent="0.3">
      <c r="A73" s="162"/>
      <c r="B73" s="162" t="s">
        <v>157</v>
      </c>
      <c r="C73" s="162"/>
      <c r="D73" s="367" t="s">
        <v>209</v>
      </c>
      <c r="E73" s="165" t="s">
        <v>634</v>
      </c>
      <c r="F73" s="165">
        <v>10</v>
      </c>
      <c r="G73" s="165"/>
      <c r="H73" s="165"/>
      <c r="I73" s="166"/>
      <c r="J73" s="167" t="s">
        <v>453</v>
      </c>
      <c r="K73" s="167"/>
      <c r="L73" s="167"/>
      <c r="M73" s="167"/>
      <c r="N73" s="168"/>
    </row>
    <row r="74" spans="1:14" s="79" customFormat="1" x14ac:dyDescent="0.3">
      <c r="A74" s="269"/>
      <c r="B74" s="269"/>
      <c r="C74" s="277"/>
      <c r="D74" s="278" t="s">
        <v>602</v>
      </c>
      <c r="E74" s="279"/>
      <c r="F74" s="279"/>
      <c r="G74" s="279"/>
      <c r="H74" s="279"/>
      <c r="I74" s="280"/>
      <c r="J74" s="271"/>
      <c r="K74" s="271"/>
      <c r="L74" s="271"/>
      <c r="M74" s="271"/>
      <c r="N74" s="272"/>
    </row>
    <row r="75" spans="1:14" x14ac:dyDescent="0.3">
      <c r="A75" s="162"/>
      <c r="B75" s="162"/>
      <c r="C75" s="170"/>
      <c r="D75" s="188" t="s">
        <v>601</v>
      </c>
      <c r="E75" s="189"/>
      <c r="F75" s="189"/>
      <c r="G75" s="189"/>
      <c r="H75" s="189"/>
      <c r="I75" s="197"/>
      <c r="J75" s="167"/>
      <c r="K75" s="167"/>
      <c r="L75" s="167"/>
      <c r="M75" s="167"/>
      <c r="N75" s="168"/>
    </row>
    <row r="76" spans="1:14" x14ac:dyDescent="0.3">
      <c r="A76" s="162"/>
      <c r="B76" s="162"/>
      <c r="C76" s="170"/>
      <c r="D76" s="368" t="s">
        <v>667</v>
      </c>
      <c r="E76" s="189"/>
      <c r="F76" s="189"/>
      <c r="G76" s="189"/>
      <c r="H76" s="189"/>
      <c r="I76" s="197"/>
      <c r="J76" s="167"/>
      <c r="K76" s="167"/>
      <c r="L76" s="167"/>
      <c r="M76" s="167"/>
      <c r="N76" s="168"/>
    </row>
    <row r="77" spans="1:14" ht="15" thickBot="1" x14ac:dyDescent="0.35">
      <c r="A77" s="162"/>
      <c r="B77" s="162" t="s">
        <v>157</v>
      </c>
      <c r="C77" s="170"/>
      <c r="D77" s="188" t="s">
        <v>5</v>
      </c>
      <c r="E77" s="189" t="s">
        <v>85</v>
      </c>
      <c r="F77" s="189"/>
      <c r="G77" s="190">
        <v>50</v>
      </c>
      <c r="H77" s="189">
        <v>4.2</v>
      </c>
      <c r="I77" s="191">
        <f>H77/16</f>
        <v>0.26250000000000001</v>
      </c>
      <c r="J77" s="167"/>
      <c r="K77" s="167"/>
      <c r="L77" s="167"/>
      <c r="M77" s="167"/>
      <c r="N77" s="168"/>
    </row>
    <row r="78" spans="1:14" x14ac:dyDescent="0.3">
      <c r="A78" s="162"/>
      <c r="B78" s="162" t="s">
        <v>157</v>
      </c>
      <c r="C78" s="192"/>
      <c r="D78" s="193" t="s">
        <v>458</v>
      </c>
      <c r="E78" s="194"/>
      <c r="F78" s="194"/>
      <c r="G78" s="195"/>
      <c r="H78" s="194"/>
      <c r="I78" s="196"/>
      <c r="J78" s="167"/>
      <c r="K78" s="167"/>
      <c r="L78" s="167"/>
      <c r="M78" s="167"/>
      <c r="N78" s="168"/>
    </row>
    <row r="79" spans="1:14" x14ac:dyDescent="0.3">
      <c r="A79" s="161"/>
      <c r="B79" s="161" t="s">
        <v>157</v>
      </c>
      <c r="C79" s="162"/>
      <c r="D79" s="169" t="s">
        <v>135</v>
      </c>
      <c r="E79" s="165" t="s">
        <v>650</v>
      </c>
      <c r="F79" s="165">
        <v>1</v>
      </c>
      <c r="G79" s="183"/>
      <c r="H79" s="165"/>
      <c r="I79" s="175"/>
      <c r="J79" s="267" t="s">
        <v>461</v>
      </c>
      <c r="K79" s="167"/>
      <c r="L79" s="167"/>
      <c r="M79" s="167"/>
      <c r="N79" s="168"/>
    </row>
    <row r="80" spans="1:14" x14ac:dyDescent="0.3">
      <c r="A80" s="161"/>
      <c r="B80" s="161" t="s">
        <v>157</v>
      </c>
      <c r="C80" s="162"/>
      <c r="D80" s="169" t="s">
        <v>444</v>
      </c>
      <c r="E80" s="169" t="s">
        <v>597</v>
      </c>
      <c r="F80" s="165">
        <v>1</v>
      </c>
      <c r="G80" s="183">
        <v>299</v>
      </c>
      <c r="H80" s="165">
        <v>3.5</v>
      </c>
      <c r="I80" s="175">
        <f>H80/16</f>
        <v>0.21875</v>
      </c>
      <c r="J80" s="167" t="s">
        <v>445</v>
      </c>
      <c r="K80" s="167"/>
      <c r="L80" s="167"/>
      <c r="M80" s="167"/>
      <c r="N80" s="168"/>
    </row>
    <row r="81" spans="1:14" x14ac:dyDescent="0.3">
      <c r="A81" s="162"/>
      <c r="B81" s="162" t="s">
        <v>157</v>
      </c>
      <c r="C81" s="162"/>
      <c r="D81" s="169" t="s">
        <v>459</v>
      </c>
      <c r="E81" s="165"/>
      <c r="F81" s="165">
        <v>1</v>
      </c>
      <c r="G81" s="183"/>
      <c r="H81" s="165"/>
      <c r="I81" s="175"/>
      <c r="J81" s="167"/>
      <c r="K81" s="167"/>
      <c r="L81" s="167"/>
      <c r="M81" s="167"/>
      <c r="N81" s="168"/>
    </row>
    <row r="82" spans="1:14" x14ac:dyDescent="0.3">
      <c r="A82" s="162"/>
      <c r="B82" s="162" t="s">
        <v>157</v>
      </c>
      <c r="C82" s="162"/>
      <c r="D82" s="169" t="s">
        <v>460</v>
      </c>
      <c r="E82" s="165"/>
      <c r="F82" s="165">
        <v>1</v>
      </c>
      <c r="G82" s="183"/>
      <c r="H82" s="165"/>
      <c r="I82" s="175"/>
      <c r="J82" s="167"/>
      <c r="K82" s="167"/>
      <c r="L82" s="167"/>
      <c r="M82" s="167"/>
      <c r="N82" s="168"/>
    </row>
    <row r="83" spans="1:14" ht="15" thickBot="1" x14ac:dyDescent="0.35">
      <c r="A83" s="162"/>
      <c r="B83" s="162"/>
      <c r="C83" s="170"/>
      <c r="D83" s="169" t="s">
        <v>651</v>
      </c>
      <c r="E83" s="185"/>
      <c r="F83" s="185"/>
      <c r="G83" s="199"/>
      <c r="H83" s="185"/>
      <c r="I83" s="200"/>
      <c r="J83" s="167"/>
      <c r="K83" s="167"/>
      <c r="L83" s="167"/>
      <c r="M83" s="167"/>
      <c r="N83" s="168"/>
    </row>
    <row r="84" spans="1:14" x14ac:dyDescent="0.3">
      <c r="A84" s="162"/>
      <c r="B84" s="162"/>
      <c r="C84" s="192"/>
      <c r="D84" s="201" t="s">
        <v>555</v>
      </c>
      <c r="E84" s="202"/>
      <c r="F84" s="202"/>
      <c r="G84" s="203"/>
      <c r="H84" s="202"/>
      <c r="I84" s="204"/>
      <c r="J84" s="167"/>
      <c r="K84" s="167"/>
      <c r="L84" s="167"/>
      <c r="M84" s="167"/>
      <c r="N84" s="168"/>
    </row>
    <row r="85" spans="1:14" x14ac:dyDescent="0.3">
      <c r="A85" s="162" t="s">
        <v>611</v>
      </c>
      <c r="B85" s="162" t="s">
        <v>157</v>
      </c>
      <c r="C85" s="192"/>
      <c r="D85" s="205" t="s">
        <v>560</v>
      </c>
      <c r="E85" s="202"/>
      <c r="F85" s="202">
        <v>2</v>
      </c>
      <c r="G85" s="203"/>
      <c r="H85" s="202"/>
      <c r="I85" s="204"/>
      <c r="J85" s="167"/>
      <c r="K85" s="167"/>
      <c r="L85" s="167"/>
      <c r="M85" s="167"/>
      <c r="N85" s="168"/>
    </row>
    <row r="86" spans="1:14" x14ac:dyDescent="0.3">
      <c r="A86" s="162" t="s">
        <v>157</v>
      </c>
      <c r="B86" s="162" t="s">
        <v>157</v>
      </c>
      <c r="C86" s="192"/>
      <c r="D86" s="373" t="s">
        <v>539</v>
      </c>
      <c r="E86" s="202"/>
      <c r="F86" s="202">
        <v>4</v>
      </c>
      <c r="G86" s="203"/>
      <c r="H86" s="202"/>
      <c r="I86" s="204"/>
      <c r="J86" s="167"/>
      <c r="K86" s="167"/>
      <c r="L86" s="167"/>
      <c r="M86" s="167"/>
      <c r="N86" s="168"/>
    </row>
    <row r="87" spans="1:14" x14ac:dyDescent="0.3">
      <c r="A87" s="162" t="s">
        <v>157</v>
      </c>
      <c r="B87" s="162" t="s">
        <v>157</v>
      </c>
      <c r="C87" s="192"/>
      <c r="D87" s="373" t="s">
        <v>540</v>
      </c>
      <c r="E87" s="202"/>
      <c r="F87" s="202">
        <v>4</v>
      </c>
      <c r="G87" s="203"/>
      <c r="H87" s="202"/>
      <c r="I87" s="204"/>
      <c r="J87" s="167"/>
      <c r="K87" s="167"/>
      <c r="L87" s="167"/>
      <c r="M87" s="167"/>
      <c r="N87" s="168"/>
    </row>
    <row r="88" spans="1:14" x14ac:dyDescent="0.3">
      <c r="A88" s="162"/>
      <c r="B88" s="162" t="s">
        <v>157</v>
      </c>
      <c r="C88" s="192"/>
      <c r="D88" s="373" t="s">
        <v>542</v>
      </c>
      <c r="E88" s="202"/>
      <c r="F88" s="202">
        <v>4</v>
      </c>
      <c r="G88" s="203"/>
      <c r="H88" s="202"/>
      <c r="I88" s="204"/>
      <c r="J88" s="167"/>
      <c r="K88" s="167"/>
      <c r="L88" s="167"/>
      <c r="M88" s="167"/>
      <c r="N88" s="168"/>
    </row>
    <row r="89" spans="1:14" x14ac:dyDescent="0.3">
      <c r="A89" s="162" t="s">
        <v>157</v>
      </c>
      <c r="B89" s="162" t="s">
        <v>157</v>
      </c>
      <c r="C89" s="192"/>
      <c r="D89" s="373" t="s">
        <v>551</v>
      </c>
      <c r="E89" s="202"/>
      <c r="F89" s="202">
        <v>4</v>
      </c>
      <c r="G89" s="203"/>
      <c r="H89" s="202"/>
      <c r="I89" s="204"/>
      <c r="J89" s="167"/>
      <c r="K89" s="167"/>
      <c r="L89" s="167"/>
      <c r="M89" s="167"/>
      <c r="N89" s="168"/>
    </row>
    <row r="90" spans="1:14" x14ac:dyDescent="0.3">
      <c r="A90" s="162" t="s">
        <v>157</v>
      </c>
      <c r="B90" s="162" t="s">
        <v>157</v>
      </c>
      <c r="C90" s="192"/>
      <c r="D90" s="205" t="s">
        <v>554</v>
      </c>
      <c r="E90" s="202"/>
      <c r="F90" s="202">
        <v>2</v>
      </c>
      <c r="G90" s="203"/>
      <c r="H90" s="202"/>
      <c r="I90" s="204"/>
      <c r="J90" s="167"/>
      <c r="K90" s="167"/>
      <c r="L90" s="167"/>
      <c r="M90" s="167"/>
      <c r="N90" s="168"/>
    </row>
    <row r="91" spans="1:14" x14ac:dyDescent="0.3">
      <c r="A91" s="162" t="s">
        <v>157</v>
      </c>
      <c r="B91" s="162" t="s">
        <v>157</v>
      </c>
      <c r="C91" s="192"/>
      <c r="D91" s="205" t="s">
        <v>552</v>
      </c>
      <c r="E91" s="202"/>
      <c r="F91" s="202">
        <v>2</v>
      </c>
      <c r="G91" s="203"/>
      <c r="H91" s="202"/>
      <c r="I91" s="204"/>
      <c r="J91" s="167"/>
      <c r="K91" s="167"/>
      <c r="L91" s="167"/>
      <c r="M91" s="167"/>
      <c r="N91" s="168"/>
    </row>
    <row r="92" spans="1:14" x14ac:dyDescent="0.3">
      <c r="A92" s="162"/>
      <c r="B92" s="162"/>
      <c r="C92" s="192"/>
      <c r="D92" s="205" t="s">
        <v>553</v>
      </c>
      <c r="E92" s="202"/>
      <c r="F92" s="202">
        <v>1</v>
      </c>
      <c r="G92" s="203"/>
      <c r="H92" s="202"/>
      <c r="I92" s="204"/>
      <c r="J92" s="167"/>
      <c r="K92" s="167"/>
      <c r="L92" s="167"/>
      <c r="M92" s="167"/>
      <c r="N92" s="168"/>
    </row>
    <row r="93" spans="1:14" x14ac:dyDescent="0.3">
      <c r="A93" s="162" t="s">
        <v>157</v>
      </c>
      <c r="B93" s="162" t="s">
        <v>157</v>
      </c>
      <c r="C93" s="192"/>
      <c r="D93" s="373" t="s">
        <v>544</v>
      </c>
      <c r="E93" s="202" t="s">
        <v>545</v>
      </c>
      <c r="F93" s="202">
        <v>20</v>
      </c>
      <c r="G93" s="203"/>
      <c r="H93" s="202"/>
      <c r="I93" s="204"/>
      <c r="J93" s="167"/>
      <c r="K93" s="167"/>
      <c r="L93" s="167"/>
      <c r="M93" s="167"/>
      <c r="N93" s="168"/>
    </row>
    <row r="94" spans="1:14" x14ac:dyDescent="0.3">
      <c r="A94" s="162"/>
      <c r="B94" s="162" t="s">
        <v>157</v>
      </c>
      <c r="C94" s="192"/>
      <c r="D94" s="373" t="s">
        <v>546</v>
      </c>
      <c r="E94" s="202"/>
      <c r="F94" s="202">
        <v>4</v>
      </c>
      <c r="G94" s="203"/>
      <c r="H94" s="202"/>
      <c r="I94" s="204"/>
      <c r="J94" s="167"/>
      <c r="K94" s="167"/>
      <c r="L94" s="167"/>
      <c r="M94" s="167"/>
      <c r="N94" s="168"/>
    </row>
    <row r="95" spans="1:14" x14ac:dyDescent="0.3">
      <c r="A95" s="162"/>
      <c r="B95" s="162" t="s">
        <v>157</v>
      </c>
      <c r="C95" s="192"/>
      <c r="D95" s="205" t="s">
        <v>550</v>
      </c>
      <c r="E95" s="202"/>
      <c r="F95" s="202">
        <v>4</v>
      </c>
      <c r="G95" s="203"/>
      <c r="H95" s="202"/>
      <c r="I95" s="204"/>
      <c r="J95" s="167"/>
      <c r="K95" s="167"/>
      <c r="L95" s="167"/>
      <c r="M95" s="167"/>
      <c r="N95" s="168"/>
    </row>
    <row r="96" spans="1:14" x14ac:dyDescent="0.3">
      <c r="A96" s="162"/>
      <c r="B96" s="162" t="s">
        <v>157</v>
      </c>
      <c r="C96" s="192"/>
      <c r="D96" s="205" t="s">
        <v>549</v>
      </c>
      <c r="E96" s="202"/>
      <c r="F96" s="202">
        <v>4</v>
      </c>
      <c r="G96" s="203"/>
      <c r="H96" s="202"/>
      <c r="I96" s="204"/>
      <c r="J96" s="167"/>
      <c r="K96" s="167"/>
      <c r="L96" s="167"/>
      <c r="M96" s="167"/>
      <c r="N96" s="168"/>
    </row>
    <row r="97" spans="1:14" x14ac:dyDescent="0.3">
      <c r="A97" s="162"/>
      <c r="B97" s="162"/>
      <c r="C97" s="192"/>
      <c r="D97" s="205" t="s">
        <v>561</v>
      </c>
      <c r="E97" s="202"/>
      <c r="F97" s="202">
        <v>1</v>
      </c>
      <c r="G97" s="203"/>
      <c r="H97" s="202"/>
      <c r="I97" s="204"/>
      <c r="J97" s="167"/>
      <c r="K97" s="167"/>
      <c r="L97" s="167"/>
      <c r="M97" s="167"/>
      <c r="N97" s="168"/>
    </row>
    <row r="98" spans="1:14" x14ac:dyDescent="0.3">
      <c r="A98" s="162"/>
      <c r="B98" s="162"/>
      <c r="C98" s="192"/>
      <c r="D98" s="373" t="s">
        <v>547</v>
      </c>
      <c r="E98" s="206" t="s">
        <v>548</v>
      </c>
      <c r="F98" s="202">
        <v>1</v>
      </c>
      <c r="G98" s="203"/>
      <c r="H98" s="202">
        <v>4.4000000000000004</v>
      </c>
      <c r="I98" s="204"/>
      <c r="J98" s="167"/>
      <c r="K98" s="167"/>
      <c r="L98" s="167"/>
      <c r="M98" s="167"/>
      <c r="N98" s="168"/>
    </row>
    <row r="99" spans="1:14" x14ac:dyDescent="0.3">
      <c r="A99" s="162"/>
      <c r="B99" s="162" t="s">
        <v>157</v>
      </c>
      <c r="C99" s="192"/>
      <c r="D99" s="205" t="s">
        <v>543</v>
      </c>
      <c r="E99" s="206"/>
      <c r="F99" s="202">
        <v>1</v>
      </c>
      <c r="G99" s="203"/>
      <c r="H99" s="202"/>
      <c r="I99" s="204"/>
      <c r="J99" s="167"/>
      <c r="K99" s="167"/>
      <c r="L99" s="167"/>
      <c r="M99" s="167"/>
      <c r="N99" s="168"/>
    </row>
    <row r="100" spans="1:14" x14ac:dyDescent="0.3">
      <c r="A100" s="162" t="s">
        <v>157</v>
      </c>
      <c r="B100" s="162" t="s">
        <v>157</v>
      </c>
      <c r="C100" s="192"/>
      <c r="D100" s="373" t="s">
        <v>541</v>
      </c>
      <c r="E100" s="206"/>
      <c r="F100" s="202">
        <v>4</v>
      </c>
      <c r="G100" s="203"/>
      <c r="H100" s="202"/>
      <c r="I100" s="204"/>
      <c r="J100" s="167"/>
      <c r="K100" s="167"/>
      <c r="L100" s="167"/>
      <c r="M100" s="167"/>
      <c r="N100" s="168"/>
    </row>
    <row r="101" spans="1:14" x14ac:dyDescent="0.3">
      <c r="A101" s="162"/>
      <c r="B101" s="162" t="s">
        <v>157</v>
      </c>
      <c r="C101" s="192"/>
      <c r="D101" s="373" t="s">
        <v>562</v>
      </c>
      <c r="E101" s="206"/>
      <c r="F101" s="202">
        <v>1</v>
      </c>
      <c r="G101" s="203"/>
      <c r="H101" s="202"/>
      <c r="I101" s="204"/>
      <c r="J101" s="167"/>
      <c r="K101" s="167"/>
      <c r="L101" s="167"/>
      <c r="M101" s="167"/>
      <c r="N101" s="168"/>
    </row>
    <row r="102" spans="1:14" x14ac:dyDescent="0.3">
      <c r="A102" s="162"/>
      <c r="B102" s="162"/>
      <c r="C102" s="192"/>
      <c r="D102" s="205" t="s">
        <v>668</v>
      </c>
      <c r="E102" s="206"/>
      <c r="F102" s="202"/>
      <c r="G102" s="203"/>
      <c r="H102" s="202"/>
      <c r="I102" s="204"/>
      <c r="J102" s="167"/>
      <c r="K102" s="167"/>
      <c r="L102" s="167"/>
      <c r="M102" s="167"/>
      <c r="N102" s="168"/>
    </row>
    <row r="103" spans="1:14" x14ac:dyDescent="0.3">
      <c r="A103" s="162"/>
      <c r="B103" s="162"/>
      <c r="C103" s="192"/>
      <c r="D103" s="205"/>
      <c r="E103" s="206"/>
      <c r="F103" s="202"/>
      <c r="G103" s="203"/>
      <c r="H103" s="202"/>
      <c r="I103" s="204"/>
      <c r="J103" s="167"/>
      <c r="K103" s="167"/>
      <c r="L103" s="167"/>
      <c r="M103" s="167"/>
      <c r="N103" s="168"/>
    </row>
    <row r="104" spans="1:14" x14ac:dyDescent="0.3">
      <c r="A104" s="162"/>
      <c r="B104" s="162"/>
      <c r="C104" s="192"/>
      <c r="D104" s="201" t="s">
        <v>556</v>
      </c>
      <c r="E104" s="206"/>
      <c r="F104" s="202"/>
      <c r="G104" s="203"/>
      <c r="H104" s="202"/>
      <c r="I104" s="204"/>
      <c r="J104" s="167"/>
      <c r="K104" s="167"/>
      <c r="L104" s="167"/>
      <c r="M104" s="167"/>
      <c r="N104" s="168"/>
    </row>
    <row r="105" spans="1:14" x14ac:dyDescent="0.3">
      <c r="A105" s="162"/>
      <c r="B105" s="162" t="s">
        <v>157</v>
      </c>
      <c r="C105" s="192"/>
      <c r="D105" s="205" t="s">
        <v>557</v>
      </c>
      <c r="E105" s="358" t="s">
        <v>652</v>
      </c>
      <c r="F105" s="202">
        <v>2</v>
      </c>
      <c r="G105" s="203"/>
      <c r="H105" s="202"/>
      <c r="I105" s="204"/>
      <c r="J105" s="167"/>
      <c r="K105" s="167"/>
      <c r="L105" s="167"/>
      <c r="M105" s="167"/>
      <c r="N105" s="168"/>
    </row>
    <row r="106" spans="1:14" x14ac:dyDescent="0.3">
      <c r="A106" s="162" t="s">
        <v>157</v>
      </c>
      <c r="B106" s="162" t="s">
        <v>157</v>
      </c>
      <c r="C106" s="192"/>
      <c r="D106" s="367" t="s">
        <v>245</v>
      </c>
      <c r="E106" s="165" t="s">
        <v>246</v>
      </c>
      <c r="F106" s="165">
        <v>1</v>
      </c>
      <c r="G106" s="183">
        <v>21</v>
      </c>
      <c r="H106" s="165">
        <v>3.9</v>
      </c>
      <c r="I106" s="175">
        <f>H106/16</f>
        <v>0.24374999999999999</v>
      </c>
      <c r="J106" s="167" t="s">
        <v>468</v>
      </c>
      <c r="K106" s="167"/>
      <c r="L106" s="167"/>
      <c r="M106" s="167"/>
      <c r="N106" s="168"/>
    </row>
    <row r="107" spans="1:14" x14ac:dyDescent="0.3">
      <c r="A107" s="161" t="s">
        <v>157</v>
      </c>
      <c r="B107" s="161" t="s">
        <v>157</v>
      </c>
      <c r="C107" s="162"/>
      <c r="D107" s="367" t="s">
        <v>408</v>
      </c>
      <c r="E107" s="165"/>
      <c r="F107" s="165">
        <v>1</v>
      </c>
      <c r="G107" s="183"/>
      <c r="H107" s="165">
        <v>26</v>
      </c>
      <c r="I107" s="175">
        <f>H107/16*F107</f>
        <v>1.625</v>
      </c>
      <c r="J107" s="167"/>
      <c r="K107" s="167"/>
      <c r="L107" s="167"/>
      <c r="M107" s="167"/>
      <c r="N107" s="168"/>
    </row>
    <row r="108" spans="1:14" x14ac:dyDescent="0.3">
      <c r="A108" s="162" t="s">
        <v>157</v>
      </c>
      <c r="B108" s="162" t="s">
        <v>157</v>
      </c>
      <c r="C108" s="162"/>
      <c r="D108" s="367" t="s">
        <v>653</v>
      </c>
      <c r="E108" s="165"/>
      <c r="F108" s="165">
        <v>10</v>
      </c>
      <c r="G108" s="165"/>
      <c r="H108" s="165"/>
      <c r="I108" s="166"/>
      <c r="J108" s="167" t="s">
        <v>479</v>
      </c>
      <c r="K108" s="167"/>
      <c r="L108" s="167"/>
      <c r="M108" s="167"/>
      <c r="N108" s="168"/>
    </row>
    <row r="109" spans="1:14" x14ac:dyDescent="0.3">
      <c r="A109" s="162"/>
      <c r="B109" s="162"/>
      <c r="C109" s="162"/>
      <c r="D109" s="367" t="s">
        <v>670</v>
      </c>
      <c r="E109" s="165"/>
      <c r="F109" s="165"/>
      <c r="G109" s="165"/>
      <c r="H109" s="165"/>
      <c r="I109" s="166"/>
      <c r="J109" s="167"/>
      <c r="K109" s="167"/>
      <c r="L109" s="167"/>
      <c r="M109" s="167"/>
      <c r="N109" s="168"/>
    </row>
    <row r="110" spans="1:14" x14ac:dyDescent="0.3">
      <c r="A110" s="162"/>
      <c r="B110" s="162"/>
      <c r="C110" s="162"/>
      <c r="D110" s="222" t="s">
        <v>558</v>
      </c>
      <c r="E110" s="165"/>
      <c r="F110" s="165">
        <v>1</v>
      </c>
      <c r="G110" s="183"/>
      <c r="H110" s="165"/>
      <c r="I110" s="175"/>
      <c r="J110" s="167"/>
      <c r="K110" s="167"/>
      <c r="L110" s="167"/>
      <c r="M110" s="167"/>
      <c r="N110" s="168"/>
    </row>
    <row r="111" spans="1:14" x14ac:dyDescent="0.3">
      <c r="A111" s="161" t="s">
        <v>157</v>
      </c>
      <c r="B111" s="161" t="s">
        <v>157</v>
      </c>
      <c r="C111" s="170"/>
      <c r="D111" s="372" t="s">
        <v>669</v>
      </c>
      <c r="E111" s="171"/>
      <c r="F111" s="165"/>
      <c r="G111" s="165"/>
      <c r="H111" s="165"/>
      <c r="I111" s="166"/>
      <c r="J111" s="167"/>
      <c r="K111" s="167"/>
      <c r="L111" s="167"/>
      <c r="M111" s="167"/>
      <c r="N111" s="168"/>
    </row>
    <row r="112" spans="1:14" x14ac:dyDescent="0.3">
      <c r="A112" s="161"/>
      <c r="B112" s="161"/>
      <c r="C112" s="192"/>
      <c r="D112" s="201" t="s">
        <v>187</v>
      </c>
      <c r="E112" s="207"/>
      <c r="F112" s="202"/>
      <c r="G112" s="203"/>
      <c r="H112" s="202"/>
      <c r="I112" s="208"/>
      <c r="J112" s="167"/>
      <c r="K112" s="167"/>
      <c r="L112" s="167"/>
      <c r="M112" s="167"/>
      <c r="N112" s="168"/>
    </row>
    <row r="113" spans="1:14" x14ac:dyDescent="0.3">
      <c r="A113" s="161"/>
      <c r="B113" s="161" t="s">
        <v>157</v>
      </c>
      <c r="C113" s="162"/>
      <c r="D113" s="209" t="s">
        <v>189</v>
      </c>
      <c r="E113" s="210" t="s">
        <v>654</v>
      </c>
      <c r="F113" s="165">
        <v>1</v>
      </c>
      <c r="G113" s="183">
        <v>170</v>
      </c>
      <c r="H113" s="165">
        <f>I113*16</f>
        <v>63.36</v>
      </c>
      <c r="I113" s="178">
        <v>3.96</v>
      </c>
      <c r="J113" s="167"/>
      <c r="K113" s="167"/>
      <c r="L113" s="167"/>
      <c r="M113" s="167"/>
      <c r="N113" s="168"/>
    </row>
    <row r="114" spans="1:14" x14ac:dyDescent="0.3">
      <c r="A114" s="161"/>
      <c r="B114" s="161" t="s">
        <v>157</v>
      </c>
      <c r="C114" s="162"/>
      <c r="D114" s="209" t="s">
        <v>190</v>
      </c>
      <c r="E114" s="210" t="s">
        <v>235</v>
      </c>
      <c r="F114" s="165">
        <v>1</v>
      </c>
      <c r="G114" s="183">
        <v>55</v>
      </c>
      <c r="H114" s="165"/>
      <c r="I114" s="178"/>
      <c r="J114" s="167"/>
      <c r="K114" s="167"/>
      <c r="L114" s="167"/>
      <c r="M114" s="167"/>
      <c r="N114" s="168"/>
    </row>
    <row r="115" spans="1:14" x14ac:dyDescent="0.3">
      <c r="A115" s="161"/>
      <c r="B115" s="161" t="s">
        <v>157</v>
      </c>
      <c r="C115" s="162"/>
      <c r="D115" s="359" t="s">
        <v>487</v>
      </c>
      <c r="E115" s="360" t="s">
        <v>488</v>
      </c>
      <c r="F115" s="165">
        <v>1</v>
      </c>
      <c r="G115" s="183"/>
      <c r="H115" s="165"/>
      <c r="I115" s="178"/>
      <c r="J115" s="167" t="s">
        <v>489</v>
      </c>
      <c r="K115" s="167"/>
      <c r="L115" s="167"/>
      <c r="M115" s="167"/>
      <c r="N115" s="168"/>
    </row>
    <row r="116" spans="1:14" x14ac:dyDescent="0.3">
      <c r="A116" s="161"/>
      <c r="B116" s="161" t="s">
        <v>157</v>
      </c>
      <c r="C116" s="162"/>
      <c r="D116" s="209" t="s">
        <v>191</v>
      </c>
      <c r="E116" s="210" t="s">
        <v>273</v>
      </c>
      <c r="F116" s="165">
        <v>3</v>
      </c>
      <c r="G116" s="183"/>
      <c r="H116" s="165"/>
      <c r="I116" s="178"/>
      <c r="J116" s="167"/>
      <c r="K116" s="167"/>
      <c r="L116" s="167"/>
      <c r="M116" s="167"/>
      <c r="N116" s="168"/>
    </row>
    <row r="117" spans="1:14" x14ac:dyDescent="0.3">
      <c r="A117" s="161"/>
      <c r="B117" s="161" t="s">
        <v>157</v>
      </c>
      <c r="C117" s="162"/>
      <c r="D117" s="359" t="s">
        <v>480</v>
      </c>
      <c r="E117" s="360" t="s">
        <v>481</v>
      </c>
      <c r="F117" s="165">
        <v>3</v>
      </c>
      <c r="G117" s="183"/>
      <c r="H117" s="165"/>
      <c r="I117" s="178"/>
      <c r="J117" s="167"/>
      <c r="K117" s="167"/>
      <c r="L117" s="167"/>
      <c r="M117" s="167"/>
      <c r="N117" s="168"/>
    </row>
    <row r="118" spans="1:14" x14ac:dyDescent="0.3">
      <c r="A118" s="161" t="s">
        <v>157</v>
      </c>
      <c r="B118" s="161" t="s">
        <v>157</v>
      </c>
      <c r="C118" s="162"/>
      <c r="D118" s="369" t="s">
        <v>502</v>
      </c>
      <c r="E118" s="210" t="s">
        <v>655</v>
      </c>
      <c r="F118" s="165">
        <v>1</v>
      </c>
      <c r="G118" s="183"/>
      <c r="H118" s="165"/>
      <c r="I118" s="178"/>
      <c r="J118" s="167"/>
      <c r="K118" s="167"/>
      <c r="L118" s="167"/>
      <c r="M118" s="167"/>
      <c r="N118" s="168"/>
    </row>
    <row r="119" spans="1:14" x14ac:dyDescent="0.3">
      <c r="A119" s="161"/>
      <c r="B119" s="161" t="s">
        <v>157</v>
      </c>
      <c r="C119" s="162"/>
      <c r="D119" s="209" t="s">
        <v>200</v>
      </c>
      <c r="E119" s="210" t="s">
        <v>656</v>
      </c>
      <c r="F119" s="165">
        <v>2</v>
      </c>
      <c r="G119" s="183">
        <v>35</v>
      </c>
      <c r="H119" s="165"/>
      <c r="I119" s="178"/>
      <c r="J119" s="167"/>
      <c r="K119" s="167"/>
      <c r="L119" s="167"/>
      <c r="M119" s="167"/>
      <c r="N119" s="168"/>
    </row>
    <row r="120" spans="1:14" x14ac:dyDescent="0.3">
      <c r="A120" s="161"/>
      <c r="B120" s="161" t="s">
        <v>157</v>
      </c>
      <c r="C120" s="162"/>
      <c r="D120" s="209" t="s">
        <v>188</v>
      </c>
      <c r="E120" s="210" t="s">
        <v>657</v>
      </c>
      <c r="F120" s="165">
        <v>1</v>
      </c>
      <c r="G120" s="183"/>
      <c r="H120" s="165">
        <v>8</v>
      </c>
      <c r="I120" s="178"/>
      <c r="J120" s="167"/>
      <c r="K120" s="167"/>
      <c r="L120" s="167"/>
      <c r="M120" s="167"/>
      <c r="N120" s="168"/>
    </row>
    <row r="121" spans="1:14" x14ac:dyDescent="0.3">
      <c r="A121" s="161" t="s">
        <v>157</v>
      </c>
      <c r="B121" s="161" t="s">
        <v>157</v>
      </c>
      <c r="C121" s="162"/>
      <c r="D121" s="209" t="s">
        <v>281</v>
      </c>
      <c r="E121" s="210" t="s">
        <v>659</v>
      </c>
      <c r="F121" s="165">
        <v>1</v>
      </c>
      <c r="G121" s="183"/>
      <c r="H121" s="165"/>
      <c r="I121" s="178"/>
      <c r="J121" s="167" t="s">
        <v>416</v>
      </c>
      <c r="K121" s="167"/>
      <c r="L121" s="167"/>
      <c r="M121" s="167"/>
      <c r="N121" s="168"/>
    </row>
    <row r="122" spans="1:14" x14ac:dyDescent="0.3">
      <c r="A122" s="161" t="s">
        <v>157</v>
      </c>
      <c r="B122" s="161" t="s">
        <v>157</v>
      </c>
      <c r="C122" s="162"/>
      <c r="D122" s="209" t="s">
        <v>236</v>
      </c>
      <c r="E122" s="210" t="s">
        <v>247</v>
      </c>
      <c r="F122" s="165">
        <v>1</v>
      </c>
      <c r="G122" s="183">
        <v>89</v>
      </c>
      <c r="H122" s="165">
        <v>6.7</v>
      </c>
      <c r="I122" s="178"/>
      <c r="J122" s="167"/>
      <c r="K122" s="167"/>
      <c r="L122" s="167"/>
      <c r="M122" s="167"/>
      <c r="N122" s="168"/>
    </row>
    <row r="123" spans="1:14" x14ac:dyDescent="0.3">
      <c r="A123" s="161"/>
      <c r="B123" s="161" t="s">
        <v>157</v>
      </c>
      <c r="C123" s="162"/>
      <c r="D123" s="209" t="s">
        <v>241</v>
      </c>
      <c r="E123" s="165" t="s">
        <v>658</v>
      </c>
      <c r="F123" s="165">
        <v>1</v>
      </c>
      <c r="G123" s="183">
        <v>140</v>
      </c>
      <c r="H123" s="165">
        <v>19.5</v>
      </c>
      <c r="I123" s="178"/>
      <c r="J123" s="167" t="s">
        <v>504</v>
      </c>
      <c r="K123" s="167"/>
      <c r="L123" s="167"/>
      <c r="M123" s="167"/>
      <c r="N123" s="168"/>
    </row>
    <row r="124" spans="1:14" x14ac:dyDescent="0.3">
      <c r="A124" s="161"/>
      <c r="B124" s="161" t="s">
        <v>157</v>
      </c>
      <c r="C124" s="162"/>
      <c r="D124" s="209" t="s">
        <v>192</v>
      </c>
      <c r="E124" s="210" t="s">
        <v>248</v>
      </c>
      <c r="F124" s="182">
        <v>1</v>
      </c>
      <c r="G124" s="211">
        <v>66.75</v>
      </c>
      <c r="H124" s="182">
        <v>9.3000000000000007</v>
      </c>
      <c r="I124" s="178"/>
      <c r="J124" s="167"/>
      <c r="K124" s="167"/>
      <c r="L124" s="167"/>
      <c r="M124" s="167"/>
      <c r="N124" s="168"/>
    </row>
    <row r="125" spans="1:14" x14ac:dyDescent="0.3">
      <c r="A125" s="161"/>
      <c r="B125" s="161"/>
      <c r="C125" s="162"/>
      <c r="D125" s="359" t="s">
        <v>203</v>
      </c>
      <c r="E125" s="182" t="s">
        <v>237</v>
      </c>
      <c r="F125" s="165">
        <v>1</v>
      </c>
      <c r="G125" s="183">
        <v>269</v>
      </c>
      <c r="H125" s="165">
        <v>22.3</v>
      </c>
      <c r="I125" s="178"/>
      <c r="J125" s="167"/>
      <c r="K125" s="167"/>
      <c r="L125" s="167"/>
      <c r="M125" s="167"/>
      <c r="N125" s="168"/>
    </row>
    <row r="126" spans="1:14" x14ac:dyDescent="0.3">
      <c r="A126" s="161"/>
      <c r="B126" s="161" t="s">
        <v>157</v>
      </c>
      <c r="C126" s="162"/>
      <c r="D126" s="369" t="s">
        <v>193</v>
      </c>
      <c r="E126" s="210" t="s">
        <v>660</v>
      </c>
      <c r="F126" s="165">
        <v>1</v>
      </c>
      <c r="G126" s="183">
        <v>0</v>
      </c>
      <c r="H126" s="165">
        <v>10.8</v>
      </c>
      <c r="I126" s="178"/>
      <c r="J126" s="167"/>
      <c r="K126" s="167"/>
      <c r="L126" s="167"/>
      <c r="M126" s="167"/>
      <c r="N126" s="168"/>
    </row>
    <row r="127" spans="1:14" x14ac:dyDescent="0.3">
      <c r="A127" s="161"/>
      <c r="B127" s="161" t="s">
        <v>157</v>
      </c>
      <c r="C127" s="162"/>
      <c r="D127" s="369" t="s">
        <v>233</v>
      </c>
      <c r="E127" s="210" t="s">
        <v>661</v>
      </c>
      <c r="F127" s="165">
        <v>1</v>
      </c>
      <c r="G127" s="183">
        <v>175</v>
      </c>
      <c r="H127" s="165">
        <v>18</v>
      </c>
      <c r="I127" s="178"/>
      <c r="J127" s="167"/>
      <c r="K127" s="167"/>
      <c r="L127" s="167"/>
      <c r="M127" s="167"/>
      <c r="N127" s="168"/>
    </row>
    <row r="128" spans="1:14" x14ac:dyDescent="0.3">
      <c r="A128" s="161" t="s">
        <v>157</v>
      </c>
      <c r="B128" s="161" t="s">
        <v>157</v>
      </c>
      <c r="C128" s="162"/>
      <c r="D128" s="369" t="s">
        <v>194</v>
      </c>
      <c r="E128" s="165" t="s">
        <v>655</v>
      </c>
      <c r="F128" s="165">
        <v>1</v>
      </c>
      <c r="G128" s="183">
        <v>120</v>
      </c>
      <c r="H128" s="165">
        <v>18</v>
      </c>
      <c r="I128" s="165"/>
      <c r="J128" s="167"/>
      <c r="K128" s="167"/>
      <c r="L128" s="167"/>
      <c r="M128" s="167"/>
      <c r="N128" s="168"/>
    </row>
    <row r="129" spans="1:14" x14ac:dyDescent="0.3">
      <c r="A129" s="161" t="s">
        <v>157</v>
      </c>
      <c r="B129" s="161" t="s">
        <v>157</v>
      </c>
      <c r="C129" s="162"/>
      <c r="D129" s="369" t="s">
        <v>195</v>
      </c>
      <c r="E129" s="165" t="s">
        <v>655</v>
      </c>
      <c r="F129" s="165">
        <v>1</v>
      </c>
      <c r="G129" s="183">
        <v>215</v>
      </c>
      <c r="H129" s="165">
        <v>17</v>
      </c>
      <c r="I129" s="165"/>
      <c r="J129" s="167"/>
      <c r="K129" s="167"/>
      <c r="L129" s="167"/>
      <c r="M129" s="167"/>
      <c r="N129" s="168"/>
    </row>
    <row r="130" spans="1:14" x14ac:dyDescent="0.3">
      <c r="A130" s="161" t="s">
        <v>157</v>
      </c>
      <c r="B130" s="161" t="s">
        <v>157</v>
      </c>
      <c r="C130" s="162"/>
      <c r="D130" s="369" t="s">
        <v>483</v>
      </c>
      <c r="E130" s="210" t="s">
        <v>238</v>
      </c>
      <c r="F130" s="165">
        <v>1</v>
      </c>
      <c r="G130" s="183">
        <v>59</v>
      </c>
      <c r="H130" s="165">
        <v>2.9</v>
      </c>
      <c r="I130" s="178"/>
      <c r="J130" s="167"/>
      <c r="K130" s="167"/>
      <c r="L130" s="167"/>
      <c r="M130" s="167"/>
      <c r="N130" s="168"/>
    </row>
    <row r="131" spans="1:14" x14ac:dyDescent="0.3">
      <c r="A131" s="161" t="s">
        <v>157</v>
      </c>
      <c r="B131" s="161" t="s">
        <v>157</v>
      </c>
      <c r="C131" s="162"/>
      <c r="D131" s="369" t="s">
        <v>212</v>
      </c>
      <c r="E131" s="210" t="s">
        <v>239</v>
      </c>
      <c r="F131" s="165">
        <v>1</v>
      </c>
      <c r="G131" s="183">
        <v>90</v>
      </c>
      <c r="H131" s="165">
        <v>7.2</v>
      </c>
      <c r="I131" s="178"/>
      <c r="J131" s="167"/>
      <c r="K131" s="167"/>
      <c r="L131" s="167"/>
      <c r="M131" s="167"/>
      <c r="N131" s="168"/>
    </row>
    <row r="132" spans="1:14" x14ac:dyDescent="0.3">
      <c r="A132" s="161" t="s">
        <v>157</v>
      </c>
      <c r="B132" s="161" t="s">
        <v>157</v>
      </c>
      <c r="C132" s="162"/>
      <c r="D132" s="369" t="s">
        <v>282</v>
      </c>
      <c r="E132" s="210"/>
      <c r="F132" s="165"/>
      <c r="G132" s="183"/>
      <c r="H132" s="165"/>
      <c r="I132" s="178"/>
      <c r="J132" s="167"/>
      <c r="K132" s="167"/>
      <c r="L132" s="167"/>
      <c r="M132" s="167"/>
      <c r="N132" s="168"/>
    </row>
    <row r="133" spans="1:14" x14ac:dyDescent="0.3">
      <c r="A133" s="161" t="s">
        <v>157</v>
      </c>
      <c r="B133" s="161" t="s">
        <v>157</v>
      </c>
      <c r="C133" s="162"/>
      <c r="D133" s="369" t="s">
        <v>196</v>
      </c>
      <c r="E133" s="210"/>
      <c r="F133" s="165">
        <v>1</v>
      </c>
      <c r="G133" s="183">
        <v>79</v>
      </c>
      <c r="H133" s="165">
        <v>3.5</v>
      </c>
      <c r="I133" s="178"/>
      <c r="J133" s="167"/>
      <c r="K133" s="167"/>
      <c r="L133" s="167"/>
      <c r="M133" s="167"/>
      <c r="N133" s="168"/>
    </row>
    <row r="134" spans="1:14" x14ac:dyDescent="0.3">
      <c r="A134" s="161" t="s">
        <v>157</v>
      </c>
      <c r="B134" s="161" t="s">
        <v>157</v>
      </c>
      <c r="C134" s="170"/>
      <c r="D134" s="370" t="s">
        <v>199</v>
      </c>
      <c r="E134" s="213"/>
      <c r="F134" s="189">
        <v>1</v>
      </c>
      <c r="G134" s="190">
        <v>22.5</v>
      </c>
      <c r="H134" s="189">
        <v>6</v>
      </c>
      <c r="I134" s="214"/>
      <c r="J134" s="167"/>
      <c r="K134" s="167"/>
      <c r="L134" s="167"/>
      <c r="M134" s="167"/>
      <c r="N134" s="168"/>
    </row>
    <row r="135" spans="1:14" ht="15" thickBot="1" x14ac:dyDescent="0.35">
      <c r="A135" s="161"/>
      <c r="B135" s="161" t="s">
        <v>157</v>
      </c>
      <c r="C135" s="13" t="s">
        <v>157</v>
      </c>
      <c r="D135" s="371" t="s">
        <v>376</v>
      </c>
      <c r="E135" s="216"/>
      <c r="F135" s="217">
        <v>2</v>
      </c>
      <c r="G135" s="218"/>
      <c r="H135" s="217"/>
      <c r="I135" s="219"/>
      <c r="J135" s="167" t="s">
        <v>484</v>
      </c>
      <c r="K135" s="167"/>
      <c r="L135" s="167"/>
      <c r="M135" s="167"/>
      <c r="N135" s="168"/>
    </row>
    <row r="136" spans="1:14" x14ac:dyDescent="0.3">
      <c r="A136" s="161"/>
      <c r="B136" s="161"/>
      <c r="C136" s="162"/>
      <c r="D136" s="193" t="s">
        <v>567</v>
      </c>
      <c r="E136" s="165"/>
      <c r="F136" s="165"/>
      <c r="G136" s="183"/>
      <c r="H136" s="165"/>
      <c r="I136" s="175"/>
      <c r="J136" s="167"/>
      <c r="K136" s="167"/>
      <c r="L136" s="167"/>
      <c r="M136" s="167"/>
      <c r="N136" s="168"/>
    </row>
    <row r="137" spans="1:14" x14ac:dyDescent="0.3">
      <c r="A137" s="161"/>
      <c r="B137" s="161"/>
      <c r="C137" s="162"/>
      <c r="D137" s="169" t="s">
        <v>568</v>
      </c>
      <c r="E137" s="165" t="s">
        <v>569</v>
      </c>
      <c r="F137" s="165">
        <v>1</v>
      </c>
      <c r="G137" s="165"/>
      <c r="H137" s="165"/>
      <c r="I137" s="165"/>
      <c r="J137" s="167"/>
      <c r="K137" s="167"/>
      <c r="L137" s="167"/>
      <c r="M137" s="167"/>
      <c r="N137" s="168"/>
    </row>
    <row r="138" spans="1:14" x14ac:dyDescent="0.3">
      <c r="A138" s="161"/>
      <c r="B138" s="161"/>
      <c r="C138" s="162"/>
      <c r="D138" s="169" t="s">
        <v>570</v>
      </c>
      <c r="E138" s="165"/>
      <c r="F138" s="165"/>
      <c r="G138" s="165"/>
      <c r="H138" s="165"/>
      <c r="I138" s="165"/>
      <c r="J138" s="167"/>
      <c r="K138" s="167"/>
      <c r="L138" s="167"/>
      <c r="M138" s="167"/>
      <c r="N138" s="168"/>
    </row>
    <row r="139" spans="1:14" x14ac:dyDescent="0.3">
      <c r="A139" s="161"/>
      <c r="B139" s="161"/>
      <c r="C139" s="162"/>
      <c r="D139" s="222" t="s">
        <v>571</v>
      </c>
      <c r="E139" s="165"/>
      <c r="F139" s="165"/>
      <c r="G139" s="165"/>
      <c r="H139" s="165"/>
      <c r="I139" s="165"/>
      <c r="J139" s="167"/>
      <c r="K139" s="167"/>
      <c r="L139" s="167"/>
      <c r="M139" s="167"/>
      <c r="N139" s="168"/>
    </row>
    <row r="140" spans="1:14" x14ac:dyDescent="0.3">
      <c r="A140" s="161"/>
      <c r="B140" s="161"/>
      <c r="C140" s="162"/>
      <c r="D140" s="169" t="s">
        <v>572</v>
      </c>
      <c r="E140" s="165"/>
      <c r="F140" s="165"/>
      <c r="G140" s="165"/>
      <c r="H140" s="165"/>
      <c r="I140" s="165"/>
      <c r="J140" s="167"/>
      <c r="K140" s="167"/>
      <c r="L140" s="167"/>
      <c r="M140" s="167"/>
      <c r="N140" s="168"/>
    </row>
    <row r="141" spans="1:14" x14ac:dyDescent="0.3">
      <c r="A141" s="161"/>
      <c r="B141" s="161"/>
      <c r="C141" s="162"/>
      <c r="D141" s="367" t="s">
        <v>573</v>
      </c>
      <c r="E141" s="165"/>
      <c r="F141" s="165"/>
      <c r="G141" s="165"/>
      <c r="H141" s="165"/>
      <c r="I141" s="165"/>
      <c r="J141" s="167"/>
      <c r="K141" s="167"/>
      <c r="L141" s="167"/>
      <c r="M141" s="167"/>
      <c r="N141" s="168"/>
    </row>
    <row r="142" spans="1:14" x14ac:dyDescent="0.3">
      <c r="A142" s="161"/>
      <c r="B142" s="161"/>
      <c r="C142" s="162"/>
      <c r="D142" s="169" t="s">
        <v>574</v>
      </c>
      <c r="E142" s="165"/>
      <c r="F142" s="165"/>
      <c r="G142" s="165"/>
      <c r="H142" s="165"/>
      <c r="I142" s="165"/>
      <c r="J142" s="167"/>
      <c r="K142" s="167"/>
      <c r="L142" s="167"/>
      <c r="M142" s="167"/>
      <c r="N142" s="168"/>
    </row>
    <row r="143" spans="1:14" x14ac:dyDescent="0.3">
      <c r="A143" s="161"/>
      <c r="B143" s="161"/>
      <c r="C143" s="162"/>
      <c r="D143" s="222" t="s">
        <v>575</v>
      </c>
      <c r="E143" s="165"/>
      <c r="F143" s="165"/>
      <c r="G143" s="165"/>
      <c r="H143" s="165"/>
      <c r="I143" s="165"/>
      <c r="J143" s="167"/>
      <c r="K143" s="167"/>
      <c r="L143" s="167"/>
      <c r="M143" s="167"/>
      <c r="N143" s="168"/>
    </row>
    <row r="144" spans="1:14" x14ac:dyDescent="0.3">
      <c r="A144" s="161"/>
      <c r="B144" s="161"/>
      <c r="C144" s="162"/>
      <c r="D144" s="169" t="s">
        <v>576</v>
      </c>
      <c r="E144" s="165"/>
      <c r="F144" s="165"/>
      <c r="G144" s="183"/>
      <c r="H144" s="165"/>
      <c r="I144" s="178"/>
      <c r="J144" s="167"/>
      <c r="K144" s="167"/>
      <c r="L144" s="167"/>
      <c r="M144" s="167"/>
      <c r="N144" s="168"/>
    </row>
    <row r="145" spans="1:14" x14ac:dyDescent="0.3">
      <c r="A145" s="161"/>
      <c r="B145" s="161"/>
      <c r="C145" s="162"/>
      <c r="D145" s="169" t="s">
        <v>636</v>
      </c>
      <c r="E145" s="165"/>
      <c r="F145" s="165"/>
      <c r="G145" s="183"/>
      <c r="H145" s="165"/>
      <c r="I145" s="178"/>
      <c r="J145" s="167"/>
      <c r="K145" s="167"/>
      <c r="L145" s="167"/>
      <c r="M145" s="167"/>
      <c r="N145" s="168"/>
    </row>
    <row r="146" spans="1:14" x14ac:dyDescent="0.3">
      <c r="A146" s="161"/>
      <c r="B146" s="161"/>
      <c r="C146" s="162"/>
      <c r="D146" s="169"/>
      <c r="E146" s="165"/>
      <c r="F146" s="165"/>
      <c r="G146" s="183"/>
      <c r="H146" s="165"/>
      <c r="I146" s="178"/>
      <c r="J146" s="167"/>
      <c r="K146" s="167"/>
      <c r="L146" s="167"/>
      <c r="M146" s="167"/>
      <c r="N146" s="168"/>
    </row>
    <row r="147" spans="1:14" ht="15" thickBot="1" x14ac:dyDescent="0.35">
      <c r="A147" s="161"/>
      <c r="B147" s="161"/>
      <c r="C147" s="162"/>
      <c r="D147" s="169"/>
      <c r="E147" s="165"/>
      <c r="F147" s="165"/>
      <c r="G147" s="183"/>
      <c r="H147" s="165"/>
      <c r="I147" s="178"/>
      <c r="J147" s="167"/>
      <c r="K147" s="167"/>
      <c r="L147" s="167"/>
      <c r="M147" s="167"/>
      <c r="N147" s="168"/>
    </row>
    <row r="148" spans="1:14" x14ac:dyDescent="0.3">
      <c r="A148" s="161"/>
      <c r="B148" s="161"/>
      <c r="C148" s="223"/>
      <c r="D148" s="224" t="s">
        <v>186</v>
      </c>
      <c r="E148" s="220"/>
      <c r="F148" s="194"/>
      <c r="G148" s="195"/>
      <c r="H148" s="194"/>
      <c r="I148" s="196"/>
      <c r="J148" s="167"/>
      <c r="K148" s="167"/>
      <c r="L148" s="167"/>
      <c r="M148" s="167"/>
      <c r="N148" s="168"/>
    </row>
    <row r="149" spans="1:14" x14ac:dyDescent="0.3">
      <c r="A149" s="161"/>
      <c r="B149" s="161"/>
      <c r="C149" s="225"/>
      <c r="D149" s="171" t="s">
        <v>243</v>
      </c>
      <c r="E149" s="165" t="s">
        <v>242</v>
      </c>
      <c r="F149" s="165"/>
      <c r="G149" s="183"/>
      <c r="H149" s="165"/>
      <c r="I149" s="175"/>
      <c r="J149" s="167"/>
      <c r="K149" s="167"/>
      <c r="L149" s="167"/>
      <c r="M149" s="167"/>
      <c r="N149" s="168"/>
    </row>
    <row r="150" spans="1:14" x14ac:dyDescent="0.3">
      <c r="A150" s="161"/>
      <c r="B150" s="161"/>
      <c r="C150" s="225"/>
      <c r="D150" s="171" t="s">
        <v>74</v>
      </c>
      <c r="E150" s="165"/>
      <c r="F150" s="165"/>
      <c r="G150" s="183">
        <v>229</v>
      </c>
      <c r="H150" s="165">
        <v>122</v>
      </c>
      <c r="I150" s="175">
        <f>H150/16</f>
        <v>7.625</v>
      </c>
      <c r="J150" s="167"/>
      <c r="K150" s="167"/>
      <c r="L150" s="167"/>
      <c r="M150" s="167"/>
      <c r="N150" s="168"/>
    </row>
    <row r="151" spans="1:14" x14ac:dyDescent="0.3">
      <c r="A151" s="161"/>
      <c r="B151" s="161"/>
      <c r="C151" s="225"/>
      <c r="D151" s="171" t="s">
        <v>73</v>
      </c>
      <c r="E151" s="165"/>
      <c r="F151" s="165"/>
      <c r="G151" s="183">
        <v>39.950000000000003</v>
      </c>
      <c r="H151" s="165">
        <v>16.600000000000001</v>
      </c>
      <c r="I151" s="175">
        <f>H151/16</f>
        <v>1.0375000000000001</v>
      </c>
      <c r="J151" s="167"/>
      <c r="K151" s="167"/>
      <c r="L151" s="167"/>
      <c r="M151" s="167"/>
      <c r="N151" s="168"/>
    </row>
    <row r="152" spans="1:14" x14ac:dyDescent="0.3">
      <c r="A152" s="161"/>
      <c r="B152" s="161"/>
      <c r="C152" s="225"/>
      <c r="D152" s="171" t="s">
        <v>78</v>
      </c>
      <c r="E152" s="165"/>
      <c r="F152" s="165"/>
      <c r="G152" s="183"/>
      <c r="H152" s="165"/>
      <c r="I152" s="175">
        <f>H152/16</f>
        <v>0</v>
      </c>
      <c r="J152" s="167"/>
      <c r="K152" s="167"/>
      <c r="L152" s="167"/>
      <c r="M152" s="167"/>
      <c r="N152" s="168"/>
    </row>
    <row r="153" spans="1:14" x14ac:dyDescent="0.3">
      <c r="A153" s="161"/>
      <c r="B153" s="161"/>
      <c r="C153" s="225"/>
      <c r="D153" s="171" t="s">
        <v>133</v>
      </c>
      <c r="E153" s="165"/>
      <c r="F153" s="165"/>
      <c r="G153" s="183"/>
      <c r="H153" s="165"/>
      <c r="I153" s="175"/>
      <c r="J153" s="167"/>
      <c r="K153" s="167"/>
      <c r="L153" s="167"/>
      <c r="M153" s="167"/>
      <c r="N153" s="168"/>
    </row>
    <row r="154" spans="1:14" x14ac:dyDescent="0.3">
      <c r="A154" s="161"/>
      <c r="B154" s="161"/>
      <c r="C154" s="225"/>
      <c r="D154" s="226" t="s">
        <v>158</v>
      </c>
      <c r="E154" s="227"/>
      <c r="F154" s="227"/>
      <c r="G154" s="183"/>
      <c r="H154" s="165"/>
      <c r="I154" s="175"/>
      <c r="J154" s="167"/>
      <c r="K154" s="167"/>
      <c r="L154" s="167"/>
      <c r="M154" s="167"/>
      <c r="N154" s="168"/>
    </row>
    <row r="155" spans="1:14" x14ac:dyDescent="0.3">
      <c r="A155" s="161"/>
      <c r="B155" s="161"/>
      <c r="C155" s="225"/>
      <c r="D155" s="226" t="s">
        <v>129</v>
      </c>
      <c r="E155" s="227"/>
      <c r="F155" s="227"/>
      <c r="G155" s="183"/>
      <c r="H155" s="165"/>
      <c r="I155" s="175"/>
      <c r="J155" s="167"/>
      <c r="K155" s="167"/>
      <c r="L155" s="167"/>
      <c r="M155" s="167"/>
      <c r="N155" s="168"/>
    </row>
    <row r="156" spans="1:14" x14ac:dyDescent="0.3">
      <c r="A156" s="161"/>
      <c r="B156" s="161"/>
      <c r="C156" s="225"/>
      <c r="D156" s="171" t="s">
        <v>136</v>
      </c>
      <c r="E156" s="165"/>
      <c r="F156" s="165"/>
      <c r="G156" s="183"/>
      <c r="H156" s="165"/>
      <c r="I156" s="175"/>
      <c r="J156" s="167"/>
      <c r="K156" s="167"/>
      <c r="L156" s="167"/>
      <c r="M156" s="167"/>
      <c r="N156" s="168"/>
    </row>
    <row r="157" spans="1:14" x14ac:dyDescent="0.3">
      <c r="A157" s="161"/>
      <c r="B157" s="161"/>
      <c r="C157" s="225"/>
      <c r="D157" s="171" t="s">
        <v>259</v>
      </c>
      <c r="E157" s="165"/>
      <c r="F157" s="165"/>
      <c r="G157" s="183"/>
      <c r="H157" s="165"/>
      <c r="I157" s="175"/>
      <c r="J157" s="167"/>
      <c r="K157" s="167"/>
      <c r="L157" s="167"/>
      <c r="M157" s="167"/>
      <c r="N157" s="168"/>
    </row>
    <row r="158" spans="1:14" x14ac:dyDescent="0.3">
      <c r="A158" s="161"/>
      <c r="B158" s="161"/>
      <c r="C158" s="225"/>
      <c r="D158" s="171" t="s">
        <v>260</v>
      </c>
      <c r="E158" s="165"/>
      <c r="F158" s="165"/>
      <c r="G158" s="183"/>
      <c r="H158" s="165"/>
      <c r="I158" s="175"/>
      <c r="J158" s="167"/>
      <c r="K158" s="167"/>
      <c r="L158" s="167"/>
      <c r="M158" s="167"/>
      <c r="N158" s="168"/>
    </row>
    <row r="159" spans="1:14" x14ac:dyDescent="0.3">
      <c r="A159" s="161"/>
      <c r="B159" s="161"/>
      <c r="C159" s="225"/>
      <c r="D159" s="171" t="s">
        <v>117</v>
      </c>
      <c r="E159" s="165"/>
      <c r="F159" s="165"/>
      <c r="G159" s="183">
        <v>89.95</v>
      </c>
      <c r="H159" s="165">
        <v>12.4</v>
      </c>
      <c r="I159" s="175">
        <f>H159/16</f>
        <v>0.77500000000000002</v>
      </c>
      <c r="J159" s="167"/>
      <c r="K159" s="167"/>
      <c r="L159" s="167"/>
      <c r="M159" s="167"/>
      <c r="N159" s="168"/>
    </row>
    <row r="160" spans="1:14" x14ac:dyDescent="0.3">
      <c r="A160" s="161"/>
      <c r="B160" s="161"/>
      <c r="C160" s="225"/>
      <c r="D160" s="226" t="s">
        <v>154</v>
      </c>
      <c r="E160" s="165"/>
      <c r="F160" s="165"/>
      <c r="G160" s="165"/>
      <c r="H160" s="165"/>
      <c r="I160" s="175"/>
      <c r="J160" s="167"/>
      <c r="K160" s="167"/>
      <c r="L160" s="167"/>
      <c r="M160" s="167"/>
      <c r="N160" s="168"/>
    </row>
    <row r="161" spans="1:20" x14ac:dyDescent="0.3">
      <c r="A161" s="161"/>
      <c r="B161" s="161"/>
      <c r="C161" s="225"/>
      <c r="D161" s="171" t="s">
        <v>86</v>
      </c>
      <c r="E161" s="165"/>
      <c r="F161" s="165"/>
      <c r="G161" s="183">
        <v>800</v>
      </c>
      <c r="H161" s="165">
        <v>45</v>
      </c>
      <c r="I161" s="175">
        <f>H161/16</f>
        <v>2.8125</v>
      </c>
      <c r="J161" s="167"/>
      <c r="K161" s="167"/>
      <c r="L161" s="167"/>
      <c r="M161" s="167"/>
      <c r="N161" s="168"/>
    </row>
    <row r="162" spans="1:20" x14ac:dyDescent="0.3">
      <c r="A162" s="161"/>
      <c r="B162" s="161"/>
      <c r="C162" s="225"/>
      <c r="D162" s="171" t="s">
        <v>87</v>
      </c>
      <c r="E162" s="165"/>
      <c r="F162" s="165"/>
      <c r="G162" s="183">
        <v>150</v>
      </c>
      <c r="H162" s="165">
        <v>16</v>
      </c>
      <c r="I162" s="175">
        <f>H162/16</f>
        <v>1</v>
      </c>
      <c r="J162" s="167"/>
      <c r="K162" s="167"/>
      <c r="L162" s="167"/>
      <c r="M162" s="167"/>
      <c r="N162" s="168"/>
    </row>
    <row r="163" spans="1:20" x14ac:dyDescent="0.3">
      <c r="A163" s="161"/>
      <c r="B163" s="161"/>
      <c r="C163" s="225"/>
      <c r="D163" s="171" t="s">
        <v>88</v>
      </c>
      <c r="E163" s="165"/>
      <c r="F163" s="165"/>
      <c r="G163" s="183"/>
      <c r="H163" s="165">
        <v>6</v>
      </c>
      <c r="I163" s="175">
        <f>H163/16</f>
        <v>0.375</v>
      </c>
      <c r="J163" s="167"/>
      <c r="K163" s="167"/>
      <c r="L163" s="167"/>
      <c r="M163" s="167"/>
      <c r="N163" s="168"/>
    </row>
    <row r="164" spans="1:20" ht="15" thickBot="1" x14ac:dyDescent="0.35">
      <c r="A164" s="228"/>
      <c r="B164" s="228"/>
      <c r="C164" s="229"/>
      <c r="D164" s="230" t="s">
        <v>70</v>
      </c>
      <c r="E164" s="189"/>
      <c r="F164" s="189"/>
      <c r="G164" s="190">
        <f>SUM(G11:G163)</f>
        <v>4358.88</v>
      </c>
      <c r="H164" s="189">
        <f>SUM(H11:H162)</f>
        <v>893.68999999999983</v>
      </c>
      <c r="I164" s="191">
        <f>SUM(I11:I162)</f>
        <v>44.418124999999996</v>
      </c>
      <c r="J164" s="167"/>
      <c r="K164" s="167"/>
      <c r="L164" s="167"/>
      <c r="M164" s="167"/>
      <c r="N164" s="168"/>
    </row>
    <row r="165" spans="1:20" ht="43.2" x14ac:dyDescent="0.3">
      <c r="A165" s="231"/>
      <c r="B165" s="231"/>
      <c r="C165" s="232"/>
      <c r="D165" s="233" t="s">
        <v>102</v>
      </c>
      <c r="E165" s="234"/>
      <c r="F165" s="235" t="s">
        <v>509</v>
      </c>
      <c r="G165" s="236"/>
      <c r="H165" s="235" t="s">
        <v>508</v>
      </c>
      <c r="I165" s="236" t="s">
        <v>513</v>
      </c>
      <c r="J165" s="236" t="s">
        <v>522</v>
      </c>
      <c r="K165" s="235" t="s">
        <v>510</v>
      </c>
      <c r="L165" s="236" t="s">
        <v>511</v>
      </c>
      <c r="M165" s="235" t="s">
        <v>512</v>
      </c>
      <c r="N165" s="237" t="s">
        <v>201</v>
      </c>
      <c r="O165" s="238" t="s">
        <v>514</v>
      </c>
      <c r="P165" s="235" t="s">
        <v>515</v>
      </c>
      <c r="Q165" s="235" t="s">
        <v>516</v>
      </c>
      <c r="R165" s="239" t="s">
        <v>517</v>
      </c>
      <c r="S165" s="239" t="s">
        <v>526</v>
      </c>
      <c r="T165" s="239" t="s">
        <v>527</v>
      </c>
    </row>
    <row r="166" spans="1:20" x14ac:dyDescent="0.3">
      <c r="A166" s="240"/>
      <c r="B166" s="240"/>
      <c r="C166" s="225" t="s">
        <v>157</v>
      </c>
      <c r="D166" s="169" t="s">
        <v>506</v>
      </c>
      <c r="E166" s="165" t="s">
        <v>507</v>
      </c>
      <c r="F166" s="241">
        <v>2</v>
      </c>
      <c r="G166" s="242"/>
      <c r="H166" s="241">
        <v>490</v>
      </c>
      <c r="I166" s="243">
        <f>6.35/2</f>
        <v>3.1749999999999998</v>
      </c>
      <c r="J166" s="244">
        <f t="shared" ref="J166:J174" si="1">H166/I166</f>
        <v>154.33070866141733</v>
      </c>
      <c r="K166" s="241">
        <v>29</v>
      </c>
      <c r="L166" s="243">
        <v>29</v>
      </c>
      <c r="M166" s="241">
        <v>25</v>
      </c>
      <c r="N166" s="241">
        <v>6</v>
      </c>
      <c r="O166" s="264">
        <f t="shared" ref="O166:O183" si="2">N166*(F166*H166)</f>
        <v>5880</v>
      </c>
      <c r="P166" s="245">
        <f>K166*$F166*$N166</f>
        <v>348</v>
      </c>
      <c r="Q166" s="245">
        <f>L166*$F166*$N166</f>
        <v>348</v>
      </c>
      <c r="R166" s="246">
        <f>M166*$F166*$N166</f>
        <v>300</v>
      </c>
      <c r="S166" s="246">
        <f>N166*F166*I166</f>
        <v>38.099999999999994</v>
      </c>
      <c r="T166" s="247">
        <f>S166/16</f>
        <v>2.3812499999999996</v>
      </c>
    </row>
    <row r="167" spans="1:20" x14ac:dyDescent="0.3">
      <c r="A167" s="240"/>
      <c r="B167" s="240"/>
      <c r="C167" s="225" t="s">
        <v>157</v>
      </c>
      <c r="D167" s="169" t="s">
        <v>519</v>
      </c>
      <c r="E167" s="165" t="s">
        <v>577</v>
      </c>
      <c r="F167" s="241">
        <v>2</v>
      </c>
      <c r="G167" s="242"/>
      <c r="H167" s="241">
        <v>370</v>
      </c>
      <c r="I167" s="243">
        <f>6.06/2</f>
        <v>3.03</v>
      </c>
      <c r="J167" s="244">
        <f t="shared" si="1"/>
        <v>122.11221122112212</v>
      </c>
      <c r="K167" s="241">
        <v>6</v>
      </c>
      <c r="L167" s="243">
        <v>59</v>
      </c>
      <c r="M167" s="241">
        <v>20</v>
      </c>
      <c r="N167" s="241">
        <v>7</v>
      </c>
      <c r="O167" s="264">
        <f t="shared" si="2"/>
        <v>5180</v>
      </c>
      <c r="P167" s="245">
        <f t="shared" ref="P167:R183" si="3">K167*$F167*$N167</f>
        <v>84</v>
      </c>
      <c r="Q167" s="245">
        <f t="shared" si="3"/>
        <v>826</v>
      </c>
      <c r="R167" s="246">
        <f t="shared" si="3"/>
        <v>280</v>
      </c>
      <c r="S167" s="246">
        <f t="shared" ref="S167:S183" si="4">N167*F167*I167</f>
        <v>42.419999999999995</v>
      </c>
      <c r="T167" s="247">
        <f t="shared" ref="T167:T183" si="5">S167/16</f>
        <v>2.6512499999999997</v>
      </c>
    </row>
    <row r="168" spans="1:20" x14ac:dyDescent="0.3">
      <c r="A168" s="240"/>
      <c r="B168" s="240"/>
      <c r="C168" s="225" t="s">
        <v>157</v>
      </c>
      <c r="D168" s="169" t="s">
        <v>520</v>
      </c>
      <c r="E168" s="165" t="s">
        <v>529</v>
      </c>
      <c r="F168" s="241">
        <v>2</v>
      </c>
      <c r="G168" s="242"/>
      <c r="H168" s="241">
        <v>430</v>
      </c>
      <c r="I168" s="243">
        <f>4.97/2</f>
        <v>2.4849999999999999</v>
      </c>
      <c r="J168" s="244">
        <f t="shared" si="1"/>
        <v>173.03822937625756</v>
      </c>
      <c r="K168" s="241">
        <v>24</v>
      </c>
      <c r="L168" s="243">
        <v>27</v>
      </c>
      <c r="M168" s="241">
        <v>26</v>
      </c>
      <c r="N168" s="241">
        <v>6</v>
      </c>
      <c r="O168" s="264">
        <f t="shared" si="2"/>
        <v>5160</v>
      </c>
      <c r="P168" s="245">
        <f t="shared" si="3"/>
        <v>288</v>
      </c>
      <c r="Q168" s="245">
        <f t="shared" si="3"/>
        <v>324</v>
      </c>
      <c r="R168" s="246">
        <f t="shared" si="3"/>
        <v>312</v>
      </c>
      <c r="S168" s="246">
        <f t="shared" si="4"/>
        <v>29.82</v>
      </c>
      <c r="T168" s="247">
        <f t="shared" si="5"/>
        <v>1.86375</v>
      </c>
    </row>
    <row r="169" spans="1:20" x14ac:dyDescent="0.3">
      <c r="A169" s="240"/>
      <c r="B169" s="240"/>
      <c r="C169" s="225" t="s">
        <v>157</v>
      </c>
      <c r="D169" s="169" t="s">
        <v>528</v>
      </c>
      <c r="E169" s="165" t="s">
        <v>530</v>
      </c>
      <c r="F169" s="241">
        <v>2</v>
      </c>
      <c r="G169" s="242"/>
      <c r="H169" s="241">
        <v>460</v>
      </c>
      <c r="I169" s="243">
        <f>5.71/2</f>
        <v>2.855</v>
      </c>
      <c r="J169" s="244">
        <f t="shared" si="1"/>
        <v>161.12084063047286</v>
      </c>
      <c r="K169" s="241">
        <v>32</v>
      </c>
      <c r="L169" s="243">
        <v>21</v>
      </c>
      <c r="M169" s="241">
        <v>22</v>
      </c>
      <c r="N169" s="241">
        <v>6</v>
      </c>
      <c r="O169" s="264">
        <f t="shared" si="2"/>
        <v>5520</v>
      </c>
      <c r="P169" s="245">
        <f t="shared" si="3"/>
        <v>384</v>
      </c>
      <c r="Q169" s="245">
        <f t="shared" si="3"/>
        <v>252</v>
      </c>
      <c r="R169" s="246">
        <f t="shared" si="3"/>
        <v>264</v>
      </c>
      <c r="S169" s="246">
        <f t="shared" si="4"/>
        <v>34.26</v>
      </c>
      <c r="T169" s="247">
        <f t="shared" si="5"/>
        <v>2.1412499999999999</v>
      </c>
    </row>
    <row r="170" spans="1:20" x14ac:dyDescent="0.3">
      <c r="A170" s="240"/>
      <c r="B170" s="240"/>
      <c r="C170" s="225" t="s">
        <v>157</v>
      </c>
      <c r="D170" s="169" t="s">
        <v>578</v>
      </c>
      <c r="E170" s="165" t="s">
        <v>579</v>
      </c>
      <c r="F170" s="241">
        <v>2</v>
      </c>
      <c r="G170" s="242"/>
      <c r="H170" s="241">
        <v>280</v>
      </c>
      <c r="I170" s="243">
        <f>4.2/2</f>
        <v>2.1</v>
      </c>
      <c r="J170" s="244">
        <f t="shared" si="1"/>
        <v>133.33333333333331</v>
      </c>
      <c r="K170" s="241">
        <v>10</v>
      </c>
      <c r="L170" s="243">
        <v>30</v>
      </c>
      <c r="M170" s="241">
        <v>18</v>
      </c>
      <c r="N170" s="241">
        <v>9</v>
      </c>
      <c r="O170" s="264">
        <f t="shared" si="2"/>
        <v>5040</v>
      </c>
      <c r="P170" s="245">
        <f t="shared" si="3"/>
        <v>180</v>
      </c>
      <c r="Q170" s="245">
        <f t="shared" si="3"/>
        <v>540</v>
      </c>
      <c r="R170" s="246">
        <f t="shared" si="3"/>
        <v>324</v>
      </c>
      <c r="S170" s="246">
        <f t="shared" si="4"/>
        <v>37.800000000000004</v>
      </c>
      <c r="T170" s="247">
        <f t="shared" si="5"/>
        <v>2.3625000000000003</v>
      </c>
    </row>
    <row r="171" spans="1:20" x14ac:dyDescent="0.3">
      <c r="A171" s="240"/>
      <c r="B171" s="240"/>
      <c r="C171" s="225" t="s">
        <v>157</v>
      </c>
      <c r="D171" s="169" t="s">
        <v>521</v>
      </c>
      <c r="E171" s="165" t="s">
        <v>523</v>
      </c>
      <c r="F171" s="241">
        <v>2</v>
      </c>
      <c r="G171" s="242"/>
      <c r="H171" s="241">
        <v>260</v>
      </c>
      <c r="I171" s="243">
        <f>3.7/2</f>
        <v>1.85</v>
      </c>
      <c r="J171" s="244">
        <f t="shared" si="1"/>
        <v>140.54054054054055</v>
      </c>
      <c r="K171" s="241">
        <v>12</v>
      </c>
      <c r="L171" s="243">
        <v>23</v>
      </c>
      <c r="M171" s="241">
        <v>14</v>
      </c>
      <c r="N171" s="241">
        <v>11</v>
      </c>
      <c r="O171" s="264">
        <f t="shared" si="2"/>
        <v>5720</v>
      </c>
      <c r="P171" s="245">
        <f t="shared" si="3"/>
        <v>264</v>
      </c>
      <c r="Q171" s="245">
        <f t="shared" si="3"/>
        <v>506</v>
      </c>
      <c r="R171" s="246">
        <f t="shared" si="3"/>
        <v>308</v>
      </c>
      <c r="S171" s="246">
        <f t="shared" si="4"/>
        <v>40.700000000000003</v>
      </c>
      <c r="T171" s="247">
        <f t="shared" si="5"/>
        <v>2.5437500000000002</v>
      </c>
    </row>
    <row r="172" spans="1:20" x14ac:dyDescent="0.3">
      <c r="A172" s="240"/>
      <c r="B172" s="240"/>
      <c r="C172" s="225" t="s">
        <v>157</v>
      </c>
      <c r="D172" s="169" t="s">
        <v>524</v>
      </c>
      <c r="E172" s="165" t="s">
        <v>538</v>
      </c>
      <c r="F172" s="241">
        <v>2</v>
      </c>
      <c r="G172" s="242"/>
      <c r="H172" s="241">
        <v>570</v>
      </c>
      <c r="I172" s="243">
        <f>6.77/2</f>
        <v>3.3849999999999998</v>
      </c>
      <c r="J172" s="244">
        <f t="shared" si="1"/>
        <v>168.38995568685377</v>
      </c>
      <c r="K172" s="241">
        <v>45</v>
      </c>
      <c r="L172" s="243">
        <v>27</v>
      </c>
      <c r="M172" s="241">
        <v>18</v>
      </c>
      <c r="N172" s="241">
        <v>11</v>
      </c>
      <c r="O172" s="264">
        <f t="shared" si="2"/>
        <v>12540</v>
      </c>
      <c r="P172" s="245">
        <f t="shared" si="3"/>
        <v>990</v>
      </c>
      <c r="Q172" s="245">
        <f t="shared" si="3"/>
        <v>594</v>
      </c>
      <c r="R172" s="246">
        <f t="shared" si="3"/>
        <v>396</v>
      </c>
      <c r="S172" s="246">
        <f t="shared" si="4"/>
        <v>74.47</v>
      </c>
      <c r="T172" s="247">
        <f t="shared" si="5"/>
        <v>4.6543749999999999</v>
      </c>
    </row>
    <row r="173" spans="1:20" x14ac:dyDescent="0.3">
      <c r="A173" s="240"/>
      <c r="B173" s="240"/>
      <c r="C173" s="225"/>
      <c r="D173" s="169" t="s">
        <v>385</v>
      </c>
      <c r="E173" s="165" t="s">
        <v>531</v>
      </c>
      <c r="F173" s="241">
        <v>7</v>
      </c>
      <c r="G173" s="242"/>
      <c r="H173" s="241">
        <v>200</v>
      </c>
      <c r="I173" s="243">
        <f>9.5/F173</f>
        <v>1.3571428571428572</v>
      </c>
      <c r="J173" s="244">
        <f t="shared" si="1"/>
        <v>147.36842105263156</v>
      </c>
      <c r="K173" s="241">
        <v>10</v>
      </c>
      <c r="L173" s="243">
        <v>26</v>
      </c>
      <c r="M173" s="241">
        <v>1</v>
      </c>
      <c r="N173" s="241">
        <v>4</v>
      </c>
      <c r="O173" s="264">
        <f t="shared" si="2"/>
        <v>5600</v>
      </c>
      <c r="P173" s="245">
        <f t="shared" si="3"/>
        <v>280</v>
      </c>
      <c r="Q173" s="245">
        <f t="shared" si="3"/>
        <v>728</v>
      </c>
      <c r="R173" s="246">
        <f t="shared" si="3"/>
        <v>28</v>
      </c>
      <c r="S173" s="246">
        <f t="shared" si="4"/>
        <v>38</v>
      </c>
      <c r="T173" s="247">
        <f t="shared" si="5"/>
        <v>2.375</v>
      </c>
    </row>
    <row r="174" spans="1:20" x14ac:dyDescent="0.3">
      <c r="A174" s="240"/>
      <c r="B174" s="240"/>
      <c r="C174" s="225"/>
      <c r="D174" s="169" t="s">
        <v>535</v>
      </c>
      <c r="E174" s="165" t="s">
        <v>531</v>
      </c>
      <c r="F174" s="241">
        <v>17</v>
      </c>
      <c r="G174" s="242"/>
      <c r="H174" s="241">
        <v>150</v>
      </c>
      <c r="I174" s="243">
        <f>18/F174</f>
        <v>1.0588235294117647</v>
      </c>
      <c r="J174" s="244">
        <f t="shared" si="1"/>
        <v>141.66666666666666</v>
      </c>
      <c r="K174" s="241">
        <v>8</v>
      </c>
      <c r="L174" s="243">
        <v>20</v>
      </c>
      <c r="M174" s="241">
        <v>1</v>
      </c>
      <c r="N174" s="241"/>
      <c r="O174" s="264">
        <f t="shared" si="2"/>
        <v>0</v>
      </c>
      <c r="P174" s="245">
        <f t="shared" si="3"/>
        <v>0</v>
      </c>
      <c r="Q174" s="245">
        <f t="shared" si="3"/>
        <v>0</v>
      </c>
      <c r="R174" s="246">
        <f t="shared" si="3"/>
        <v>0</v>
      </c>
      <c r="S174" s="246">
        <f t="shared" si="4"/>
        <v>0</v>
      </c>
      <c r="T174" s="247">
        <f t="shared" si="5"/>
        <v>0</v>
      </c>
    </row>
    <row r="175" spans="1:20" x14ac:dyDescent="0.3">
      <c r="A175" s="240"/>
      <c r="B175" s="240"/>
      <c r="C175" s="225"/>
      <c r="D175" s="169" t="s">
        <v>386</v>
      </c>
      <c r="E175" s="165"/>
      <c r="F175" s="241"/>
      <c r="G175" s="242"/>
      <c r="H175" s="241"/>
      <c r="I175" s="241"/>
      <c r="J175" s="244"/>
      <c r="K175" s="241"/>
      <c r="L175" s="243"/>
      <c r="M175" s="241"/>
      <c r="N175" s="241"/>
      <c r="O175" s="264">
        <f t="shared" si="2"/>
        <v>0</v>
      </c>
      <c r="P175" s="245">
        <f t="shared" si="3"/>
        <v>0</v>
      </c>
      <c r="Q175" s="245">
        <f t="shared" si="3"/>
        <v>0</v>
      </c>
      <c r="R175" s="246">
        <f t="shared" si="3"/>
        <v>0</v>
      </c>
      <c r="S175" s="246">
        <f t="shared" si="4"/>
        <v>0</v>
      </c>
      <c r="T175" s="247">
        <f t="shared" si="5"/>
        <v>0</v>
      </c>
    </row>
    <row r="176" spans="1:20" x14ac:dyDescent="0.3">
      <c r="A176" s="240"/>
      <c r="B176" s="240"/>
      <c r="C176" s="225"/>
      <c r="D176" s="169" t="s">
        <v>387</v>
      </c>
      <c r="E176" s="165"/>
      <c r="F176" s="241">
        <v>1</v>
      </c>
      <c r="G176" s="242"/>
      <c r="H176" s="244">
        <f>120/0.493835</f>
        <v>242.99614243623881</v>
      </c>
      <c r="I176" s="241">
        <v>1</v>
      </c>
      <c r="J176" s="244">
        <f>H176/I176</f>
        <v>242.99614243623881</v>
      </c>
      <c r="K176" s="244">
        <f>14/0.493835</f>
        <v>28.349549950894527</v>
      </c>
      <c r="L176" s="243">
        <v>0</v>
      </c>
      <c r="M176" s="241">
        <v>0</v>
      </c>
      <c r="N176" s="241">
        <v>16</v>
      </c>
      <c r="O176" s="264">
        <f t="shared" si="2"/>
        <v>3887.938278979821</v>
      </c>
      <c r="P176" s="245">
        <f t="shared" si="3"/>
        <v>453.59279921431244</v>
      </c>
      <c r="Q176" s="245">
        <f t="shared" si="3"/>
        <v>0</v>
      </c>
      <c r="R176" s="246">
        <f t="shared" si="3"/>
        <v>0</v>
      </c>
      <c r="S176" s="246">
        <f t="shared" si="4"/>
        <v>16</v>
      </c>
      <c r="T176" s="247">
        <f t="shared" si="5"/>
        <v>1</v>
      </c>
    </row>
    <row r="177" spans="1:20" x14ac:dyDescent="0.3">
      <c r="A177" s="240"/>
      <c r="B177" s="240"/>
      <c r="C177" s="225"/>
      <c r="D177" s="169" t="s">
        <v>388</v>
      </c>
      <c r="E177" s="165" t="s">
        <v>536</v>
      </c>
      <c r="F177" s="241">
        <v>4</v>
      </c>
      <c r="G177" s="242"/>
      <c r="H177" s="241">
        <v>200</v>
      </c>
      <c r="I177" s="248">
        <v>1.3404100000000001</v>
      </c>
      <c r="J177" s="244">
        <f>H177/I177</f>
        <v>149.20807812534969</v>
      </c>
      <c r="K177" s="241">
        <v>17</v>
      </c>
      <c r="L177" s="243">
        <v>17</v>
      </c>
      <c r="M177" s="241">
        <v>2</v>
      </c>
      <c r="N177" s="241">
        <v>3</v>
      </c>
      <c r="O177" s="264">
        <f t="shared" si="2"/>
        <v>2400</v>
      </c>
      <c r="P177" s="245">
        <f t="shared" si="3"/>
        <v>204</v>
      </c>
      <c r="Q177" s="245">
        <f t="shared" si="3"/>
        <v>204</v>
      </c>
      <c r="R177" s="246">
        <f t="shared" si="3"/>
        <v>24</v>
      </c>
      <c r="S177" s="246">
        <f t="shared" si="4"/>
        <v>16.08492</v>
      </c>
      <c r="T177" s="247">
        <f t="shared" si="5"/>
        <v>1.0053075</v>
      </c>
    </row>
    <row r="178" spans="1:20" x14ac:dyDescent="0.3">
      <c r="A178" s="240"/>
      <c r="B178" s="240"/>
      <c r="C178" s="225"/>
      <c r="D178" s="169" t="s">
        <v>388</v>
      </c>
      <c r="E178" s="165"/>
      <c r="F178" s="241">
        <v>8</v>
      </c>
      <c r="G178" s="242"/>
      <c r="H178" s="241">
        <v>120</v>
      </c>
      <c r="I178" s="248">
        <f>7/F178</f>
        <v>0.875</v>
      </c>
      <c r="J178" s="244">
        <f>H178/I178</f>
        <v>137.14285714285714</v>
      </c>
      <c r="K178" s="241">
        <v>7</v>
      </c>
      <c r="L178" s="243">
        <v>15</v>
      </c>
      <c r="M178" s="241">
        <v>2</v>
      </c>
      <c r="N178" s="241"/>
      <c r="O178" s="264">
        <f t="shared" si="2"/>
        <v>0</v>
      </c>
      <c r="P178" s="245">
        <f t="shared" si="3"/>
        <v>0</v>
      </c>
      <c r="Q178" s="245">
        <f t="shared" si="3"/>
        <v>0</v>
      </c>
      <c r="R178" s="246">
        <f t="shared" si="3"/>
        <v>0</v>
      </c>
      <c r="S178" s="246"/>
      <c r="T178" s="247"/>
    </row>
    <row r="179" spans="1:20" x14ac:dyDescent="0.3">
      <c r="A179" s="240"/>
      <c r="B179" s="240"/>
      <c r="C179" s="225"/>
      <c r="D179" s="169" t="s">
        <v>389</v>
      </c>
      <c r="E179" s="165"/>
      <c r="F179" s="241"/>
      <c r="G179" s="242"/>
      <c r="H179" s="241"/>
      <c r="I179" s="241"/>
      <c r="J179" s="241"/>
      <c r="K179" s="241"/>
      <c r="L179" s="243"/>
      <c r="M179" s="241"/>
      <c r="N179" s="241"/>
      <c r="O179" s="264">
        <f t="shared" si="2"/>
        <v>0</v>
      </c>
      <c r="P179" s="245">
        <f t="shared" si="3"/>
        <v>0</v>
      </c>
      <c r="Q179" s="245">
        <f t="shared" si="3"/>
        <v>0</v>
      </c>
      <c r="R179" s="246">
        <f t="shared" si="3"/>
        <v>0</v>
      </c>
      <c r="S179" s="246">
        <f t="shared" si="4"/>
        <v>0</v>
      </c>
      <c r="T179" s="247">
        <f t="shared" si="5"/>
        <v>0</v>
      </c>
    </row>
    <row r="180" spans="1:20" x14ac:dyDescent="0.3">
      <c r="A180" s="249"/>
      <c r="B180" s="249">
        <v>125</v>
      </c>
      <c r="C180" s="250"/>
      <c r="D180" s="169" t="s">
        <v>390</v>
      </c>
      <c r="E180" s="165"/>
      <c r="F180" s="241"/>
      <c r="G180" s="242"/>
      <c r="H180" s="241"/>
      <c r="I180" s="241"/>
      <c r="J180" s="241"/>
      <c r="K180" s="241"/>
      <c r="L180" s="243"/>
      <c r="M180" s="241"/>
      <c r="N180" s="241"/>
      <c r="O180" s="264">
        <f t="shared" si="2"/>
        <v>0</v>
      </c>
      <c r="P180" s="245">
        <f t="shared" si="3"/>
        <v>0</v>
      </c>
      <c r="Q180" s="245">
        <f t="shared" si="3"/>
        <v>0</v>
      </c>
      <c r="R180" s="246">
        <f t="shared" si="3"/>
        <v>0</v>
      </c>
      <c r="S180" s="246">
        <f t="shared" si="4"/>
        <v>0</v>
      </c>
      <c r="T180" s="247">
        <f t="shared" si="5"/>
        <v>0</v>
      </c>
    </row>
    <row r="181" spans="1:20" x14ac:dyDescent="0.3">
      <c r="A181" s="240"/>
      <c r="B181" s="240"/>
      <c r="C181" s="225"/>
      <c r="D181" s="169" t="s">
        <v>391</v>
      </c>
      <c r="E181" s="165"/>
      <c r="F181" s="241">
        <v>1</v>
      </c>
      <c r="G181" s="242"/>
      <c r="H181" s="241">
        <v>150</v>
      </c>
      <c r="I181" s="241">
        <v>1</v>
      </c>
      <c r="J181" s="241">
        <v>150</v>
      </c>
      <c r="K181" s="241">
        <v>8</v>
      </c>
      <c r="L181" s="243">
        <v>16</v>
      </c>
      <c r="M181" s="241">
        <v>3</v>
      </c>
      <c r="N181" s="241">
        <v>34</v>
      </c>
      <c r="O181" s="264">
        <f t="shared" si="2"/>
        <v>5100</v>
      </c>
      <c r="P181" s="245">
        <f t="shared" si="3"/>
        <v>272</v>
      </c>
      <c r="Q181" s="245">
        <f t="shared" si="3"/>
        <v>544</v>
      </c>
      <c r="R181" s="246">
        <f t="shared" si="3"/>
        <v>102</v>
      </c>
      <c r="S181" s="246">
        <f t="shared" si="4"/>
        <v>34</v>
      </c>
      <c r="T181" s="247">
        <f t="shared" si="5"/>
        <v>2.125</v>
      </c>
    </row>
    <row r="182" spans="1:20" x14ac:dyDescent="0.3">
      <c r="A182" s="249"/>
      <c r="B182" s="249"/>
      <c r="C182" s="250"/>
      <c r="D182" s="169" t="s">
        <v>532</v>
      </c>
      <c r="E182" s="165" t="s">
        <v>533</v>
      </c>
      <c r="F182" s="241">
        <v>13.75</v>
      </c>
      <c r="G182" s="242"/>
      <c r="H182" s="241">
        <v>190</v>
      </c>
      <c r="I182" s="248">
        <f>16/F182</f>
        <v>1.1636363636363636</v>
      </c>
      <c r="J182" s="244">
        <f>H182/I182</f>
        <v>163.28125</v>
      </c>
      <c r="K182" s="241">
        <v>16</v>
      </c>
      <c r="L182" s="243">
        <v>8</v>
      </c>
      <c r="M182" s="241">
        <v>7</v>
      </c>
      <c r="N182" s="241">
        <v>2</v>
      </c>
      <c r="O182" s="264">
        <f>N182*(F182*H182)</f>
        <v>5225</v>
      </c>
      <c r="P182" s="245">
        <f t="shared" si="3"/>
        <v>440</v>
      </c>
      <c r="Q182" s="245">
        <f>L182*$F182*$N182</f>
        <v>220</v>
      </c>
      <c r="R182" s="246">
        <f>M182*$F182*$N182</f>
        <v>192.5</v>
      </c>
      <c r="S182" s="246">
        <f>N182*F182*I182</f>
        <v>32</v>
      </c>
      <c r="T182" s="247">
        <f>S182/16</f>
        <v>2</v>
      </c>
    </row>
    <row r="183" spans="1:20" x14ac:dyDescent="0.3">
      <c r="A183" s="251"/>
      <c r="B183" s="251"/>
      <c r="C183" s="252"/>
      <c r="D183" s="169" t="s">
        <v>392</v>
      </c>
      <c r="E183" s="165" t="s">
        <v>534</v>
      </c>
      <c r="F183" s="241">
        <v>1</v>
      </c>
      <c r="G183" s="242"/>
      <c r="H183" s="241">
        <v>90</v>
      </c>
      <c r="I183" s="241">
        <v>1</v>
      </c>
      <c r="J183" s="241">
        <v>90</v>
      </c>
      <c r="K183" s="241">
        <v>2</v>
      </c>
      <c r="L183" s="243">
        <v>16</v>
      </c>
      <c r="M183" s="241">
        <v>16</v>
      </c>
      <c r="N183" s="241">
        <v>42</v>
      </c>
      <c r="O183" s="264">
        <f t="shared" si="2"/>
        <v>3780</v>
      </c>
      <c r="P183" s="245">
        <f t="shared" si="3"/>
        <v>84</v>
      </c>
      <c r="Q183" s="245">
        <f>L183*$F183*$N183</f>
        <v>672</v>
      </c>
      <c r="R183" s="246">
        <f>M183*$F183*$N183</f>
        <v>672</v>
      </c>
      <c r="S183" s="246">
        <f t="shared" si="4"/>
        <v>42</v>
      </c>
      <c r="T183" s="247">
        <f t="shared" si="5"/>
        <v>2.625</v>
      </c>
    </row>
    <row r="184" spans="1:20" x14ac:dyDescent="0.3">
      <c r="A184" s="162"/>
      <c r="B184" s="162"/>
      <c r="C184" s="162"/>
      <c r="D184" s="169" t="s">
        <v>70</v>
      </c>
      <c r="E184" s="165"/>
      <c r="F184" s="241"/>
      <c r="G184" s="242"/>
      <c r="H184" s="241"/>
      <c r="I184" s="241"/>
      <c r="J184" s="241"/>
      <c r="K184" s="241"/>
      <c r="L184" s="243"/>
      <c r="M184" s="241"/>
      <c r="N184" s="241"/>
      <c r="O184" s="264">
        <f t="shared" ref="O184:T184" si="6">SUM(O166:O183)</f>
        <v>71032.938278979826</v>
      </c>
      <c r="P184" s="245">
        <f t="shared" si="6"/>
        <v>4271.5927992143124</v>
      </c>
      <c r="Q184" s="245">
        <f t="shared" si="6"/>
        <v>5758</v>
      </c>
      <c r="R184" s="245">
        <f t="shared" si="6"/>
        <v>3202.5</v>
      </c>
      <c r="S184" s="245">
        <f t="shared" si="6"/>
        <v>475.65491999999995</v>
      </c>
      <c r="T184" s="253">
        <f t="shared" si="6"/>
        <v>29.728432499999997</v>
      </c>
    </row>
    <row r="185" spans="1:20" ht="15" thickBot="1" x14ac:dyDescent="0.35">
      <c r="A185" s="254"/>
      <c r="B185" s="254"/>
      <c r="C185" s="254"/>
      <c r="D185" s="184" t="s">
        <v>525</v>
      </c>
      <c r="E185" s="185"/>
      <c r="F185" s="255"/>
      <c r="G185" s="256"/>
      <c r="H185" s="255"/>
      <c r="I185" s="255"/>
      <c r="J185" s="255"/>
      <c r="K185" s="255"/>
      <c r="L185" s="257"/>
      <c r="M185" s="255"/>
      <c r="N185" s="255">
        <v>14</v>
      </c>
      <c r="O185" s="265">
        <f>N185*5000</f>
        <v>70000</v>
      </c>
      <c r="P185" s="258"/>
      <c r="Q185" s="258"/>
      <c r="R185" s="259"/>
      <c r="S185" s="260"/>
    </row>
    <row r="186" spans="1:20" x14ac:dyDescent="0.3">
      <c r="G186" s="3"/>
    </row>
    <row r="188" spans="1:20" x14ac:dyDescent="0.3">
      <c r="D188" s="169" t="s">
        <v>519</v>
      </c>
      <c r="E188" s="261" t="s">
        <v>518</v>
      </c>
      <c r="F188" s="241">
        <v>2</v>
      </c>
      <c r="G188" s="242"/>
      <c r="H188" s="241">
        <v>370</v>
      </c>
      <c r="I188" s="241">
        <f>5.15/2</f>
        <v>2.5750000000000002</v>
      </c>
      <c r="J188" s="244">
        <f>H188/I188</f>
        <v>143.6893203883495</v>
      </c>
      <c r="K188" s="241">
        <v>19</v>
      </c>
      <c r="L188" s="243">
        <v>30</v>
      </c>
      <c r="M188" s="241">
        <v>20</v>
      </c>
      <c r="N188" s="241">
        <v>0</v>
      </c>
    </row>
  </sheetData>
  <mergeCells count="1">
    <mergeCell ref="E26:E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ACA3-2BD1-4433-90BC-2D0145A52615}">
  <dimension ref="A1:W116"/>
  <sheetViews>
    <sheetView topLeftCell="B1" workbookViewId="0">
      <pane xSplit="4" ySplit="3" topLeftCell="F4" activePane="bottomRight" state="frozenSplit"/>
      <selection activeCell="B1" sqref="B1"/>
      <selection pane="topRight" activeCell="G1" sqref="G1"/>
      <selection pane="bottomLeft" activeCell="B6" sqref="B6"/>
      <selection pane="bottomRight" activeCell="D9" sqref="D9"/>
    </sheetView>
  </sheetViews>
  <sheetFormatPr defaultRowHeight="14.4" x14ac:dyDescent="0.3"/>
  <cols>
    <col min="4" max="4" width="21.44140625" customWidth="1"/>
    <col min="5" max="5" width="30.33203125" customWidth="1"/>
    <col min="10" max="10" width="14.88671875" customWidth="1"/>
    <col min="15" max="15" width="9" customWidth="1"/>
    <col min="19" max="19" width="6.33203125" customWidth="1"/>
  </cols>
  <sheetData>
    <row r="1" spans="1:23" x14ac:dyDescent="0.3">
      <c r="D1" s="157"/>
      <c r="E1" s="158"/>
      <c r="F1" s="158"/>
      <c r="G1" s="158"/>
      <c r="H1" s="158"/>
      <c r="I1" s="158"/>
      <c r="J1" s="158"/>
      <c r="K1" s="158"/>
      <c r="L1" s="158"/>
      <c r="M1" s="158"/>
      <c r="N1" s="159"/>
      <c r="O1" s="262"/>
      <c r="P1" t="s">
        <v>102</v>
      </c>
    </row>
    <row r="2" spans="1:23" x14ac:dyDescent="0.3">
      <c r="D2" s="21"/>
      <c r="E2" s="19"/>
      <c r="F2" s="19"/>
      <c r="G2" s="19"/>
      <c r="H2" s="19" t="s">
        <v>108</v>
      </c>
      <c r="I2" s="20"/>
      <c r="J2" t="s">
        <v>4</v>
      </c>
      <c r="K2" s="19"/>
      <c r="L2" s="19"/>
      <c r="M2" s="20"/>
      <c r="N2" s="14"/>
      <c r="P2" t="s">
        <v>2</v>
      </c>
      <c r="Q2" t="s">
        <v>43</v>
      </c>
      <c r="R2" t="s">
        <v>44</v>
      </c>
    </row>
    <row r="3" spans="1:23" ht="28.8" x14ac:dyDescent="0.3">
      <c r="A3" s="160" t="s">
        <v>604</v>
      </c>
      <c r="B3" s="19" t="s">
        <v>603</v>
      </c>
      <c r="C3" s="19" t="s">
        <v>537</v>
      </c>
      <c r="D3" s="21" t="s">
        <v>2</v>
      </c>
      <c r="E3" s="19" t="s">
        <v>202</v>
      </c>
      <c r="F3" s="19" t="s">
        <v>201</v>
      </c>
      <c r="G3" t="s">
        <v>3</v>
      </c>
      <c r="H3" t="s">
        <v>43</v>
      </c>
      <c r="I3" t="s">
        <v>44</v>
      </c>
      <c r="N3" s="14"/>
      <c r="O3" s="26" t="s">
        <v>339</v>
      </c>
      <c r="W3" t="s">
        <v>274</v>
      </c>
    </row>
    <row r="4" spans="1:23" x14ac:dyDescent="0.3">
      <c r="A4" s="161"/>
      <c r="B4" s="161"/>
      <c r="C4" s="162"/>
      <c r="D4" s="163" t="s">
        <v>168</v>
      </c>
      <c r="E4" s="164"/>
      <c r="F4" s="165"/>
      <c r="G4" s="165"/>
      <c r="H4" s="165"/>
      <c r="I4" s="166"/>
      <c r="J4" s="167"/>
      <c r="K4" s="167"/>
      <c r="L4" s="167"/>
      <c r="M4" s="167"/>
      <c r="N4" s="168"/>
    </row>
    <row r="5" spans="1:23" x14ac:dyDescent="0.3">
      <c r="A5" s="161"/>
      <c r="B5" s="161" t="s">
        <v>157</v>
      </c>
      <c r="C5" s="162"/>
      <c r="D5" s="169" t="s">
        <v>165</v>
      </c>
      <c r="E5" s="165"/>
      <c r="F5" s="165">
        <v>1</v>
      </c>
      <c r="G5" s="165"/>
      <c r="H5" s="165"/>
      <c r="I5" s="166"/>
      <c r="J5" s="167"/>
      <c r="K5" s="167"/>
      <c r="L5" s="167"/>
      <c r="M5" s="167"/>
      <c r="N5" s="168"/>
    </row>
    <row r="6" spans="1:23" x14ac:dyDescent="0.3">
      <c r="A6" s="161"/>
      <c r="B6" s="161" t="s">
        <v>157</v>
      </c>
      <c r="C6" s="162"/>
      <c r="D6" s="169" t="s">
        <v>637</v>
      </c>
      <c r="E6" s="165"/>
      <c r="F6" s="165">
        <v>1</v>
      </c>
      <c r="G6" s="165"/>
      <c r="H6" s="165"/>
      <c r="I6" s="166"/>
      <c r="J6" s="167"/>
      <c r="K6" s="167"/>
      <c r="L6" s="167"/>
      <c r="M6" s="167"/>
      <c r="N6" s="168"/>
    </row>
    <row r="7" spans="1:23" x14ac:dyDescent="0.3">
      <c r="A7" s="161"/>
      <c r="B7" s="161" t="s">
        <v>157</v>
      </c>
      <c r="C7" s="170"/>
      <c r="D7" s="170" t="s">
        <v>501</v>
      </c>
      <c r="E7" s="171"/>
      <c r="F7" s="165"/>
      <c r="G7" s="165"/>
      <c r="H7" s="165"/>
      <c r="I7" s="166"/>
      <c r="J7" s="167"/>
      <c r="K7" s="167"/>
      <c r="L7" s="167"/>
      <c r="M7" s="167"/>
      <c r="N7" s="168"/>
    </row>
    <row r="8" spans="1:23" x14ac:dyDescent="0.3">
      <c r="D8" s="13" t="s">
        <v>642</v>
      </c>
      <c r="J8" s="167"/>
      <c r="K8" s="167"/>
      <c r="L8" s="167"/>
      <c r="M8" s="167"/>
      <c r="N8" s="167"/>
    </row>
    <row r="10" spans="1:23" x14ac:dyDescent="0.3">
      <c r="A10" s="161"/>
      <c r="B10" s="161" t="s">
        <v>157</v>
      </c>
      <c r="C10" s="172"/>
      <c r="D10" s="364" t="s">
        <v>429</v>
      </c>
      <c r="E10" s="169" t="s">
        <v>613</v>
      </c>
      <c r="F10" s="165"/>
      <c r="G10" s="174">
        <f>135*0.88</f>
        <v>118.8</v>
      </c>
      <c r="H10" s="165">
        <v>55</v>
      </c>
      <c r="I10" s="175">
        <f t="shared" ref="I10:I14" si="0">H10/16</f>
        <v>3.4375</v>
      </c>
      <c r="J10" s="167"/>
      <c r="K10" s="167"/>
      <c r="L10" s="167"/>
      <c r="M10" s="167"/>
      <c r="N10" s="168"/>
    </row>
    <row r="11" spans="1:23" x14ac:dyDescent="0.3">
      <c r="A11" s="161"/>
      <c r="B11" s="161" t="s">
        <v>157</v>
      </c>
      <c r="C11" s="176"/>
      <c r="D11" s="365"/>
      <c r="E11" s="169" t="s">
        <v>612</v>
      </c>
      <c r="F11" s="165"/>
      <c r="G11" s="174">
        <f>44*0.88</f>
        <v>38.72</v>
      </c>
      <c r="H11" s="178">
        <f>3.5+2.5</f>
        <v>6</v>
      </c>
      <c r="I11" s="175">
        <f t="shared" si="0"/>
        <v>0.375</v>
      </c>
      <c r="J11" s="167"/>
      <c r="K11" s="167"/>
      <c r="L11" s="167"/>
      <c r="M11" s="167"/>
      <c r="N11" s="168"/>
    </row>
    <row r="12" spans="1:23" x14ac:dyDescent="0.3">
      <c r="A12" s="161"/>
      <c r="B12" s="161" t="s">
        <v>157</v>
      </c>
      <c r="C12" s="179"/>
      <c r="D12" s="366"/>
      <c r="E12" s="169" t="s">
        <v>614</v>
      </c>
      <c r="F12" s="165">
        <v>2</v>
      </c>
      <c r="G12" s="174">
        <f>19*0.88</f>
        <v>16.72</v>
      </c>
      <c r="H12" s="178">
        <f>2.3*F12</f>
        <v>4.5999999999999996</v>
      </c>
      <c r="I12" s="175">
        <f t="shared" si="0"/>
        <v>0.28749999999999998</v>
      </c>
      <c r="J12" s="167" t="s">
        <v>615</v>
      </c>
      <c r="K12" s="167"/>
      <c r="L12" s="167"/>
      <c r="M12" s="167"/>
      <c r="N12" s="168"/>
    </row>
    <row r="13" spans="1:23" x14ac:dyDescent="0.3">
      <c r="A13" s="161"/>
      <c r="B13" s="161" t="s">
        <v>157</v>
      </c>
      <c r="C13" s="162"/>
      <c r="D13" s="169" t="s">
        <v>207</v>
      </c>
      <c r="E13" s="165" t="s">
        <v>630</v>
      </c>
      <c r="F13" s="165">
        <v>1</v>
      </c>
      <c r="G13" s="174">
        <v>34</v>
      </c>
      <c r="H13" s="178">
        <v>5.9</v>
      </c>
      <c r="I13" s="175">
        <f t="shared" si="0"/>
        <v>0.36875000000000002</v>
      </c>
      <c r="J13" s="267" t="s">
        <v>431</v>
      </c>
      <c r="K13" s="167"/>
      <c r="L13" s="167"/>
      <c r="M13" s="167"/>
      <c r="N13" s="168"/>
    </row>
    <row r="14" spans="1:23" x14ac:dyDescent="0.3">
      <c r="A14" s="161"/>
      <c r="B14" s="161"/>
      <c r="C14" s="162"/>
      <c r="D14" s="169" t="s">
        <v>404</v>
      </c>
      <c r="E14" s="165" t="s">
        <v>403</v>
      </c>
      <c r="F14" s="165">
        <v>1</v>
      </c>
      <c r="G14" s="174"/>
      <c r="H14" s="178">
        <v>5.7</v>
      </c>
      <c r="I14" s="175">
        <f t="shared" si="0"/>
        <v>0.35625000000000001</v>
      </c>
      <c r="J14" s="267" t="s">
        <v>486</v>
      </c>
      <c r="K14" s="167"/>
      <c r="L14" s="167"/>
      <c r="M14" s="167"/>
      <c r="N14" s="168"/>
    </row>
    <row r="15" spans="1:23" x14ac:dyDescent="0.3">
      <c r="A15" s="161"/>
      <c r="B15" s="161" t="s">
        <v>157</v>
      </c>
      <c r="C15" s="162"/>
      <c r="J15" s="167"/>
      <c r="K15" s="167"/>
      <c r="L15" s="167"/>
      <c r="M15" s="167"/>
      <c r="N15" s="168"/>
    </row>
    <row r="16" spans="1:23" ht="15" thickBot="1" x14ac:dyDescent="0.35">
      <c r="A16" s="161"/>
      <c r="B16" s="161" t="s">
        <v>157</v>
      </c>
      <c r="C16" s="170"/>
      <c r="D16" s="184" t="s">
        <v>250</v>
      </c>
      <c r="E16" s="185" t="s">
        <v>617</v>
      </c>
      <c r="F16" s="185">
        <v>5</v>
      </c>
      <c r="G16" s="183"/>
      <c r="H16" s="165"/>
      <c r="I16" s="175"/>
      <c r="J16" s="267" t="s">
        <v>450</v>
      </c>
      <c r="K16" s="186"/>
      <c r="L16" s="186"/>
      <c r="M16" s="186"/>
      <c r="N16" s="187"/>
    </row>
    <row r="17" spans="1:15" x14ac:dyDescent="0.3">
      <c r="A17" s="161"/>
      <c r="B17" s="161" t="s">
        <v>157</v>
      </c>
      <c r="C17" s="162"/>
      <c r="D17" s="169" t="s">
        <v>256</v>
      </c>
      <c r="E17" s="165" t="s">
        <v>69</v>
      </c>
      <c r="F17" s="165">
        <v>2</v>
      </c>
      <c r="G17" s="183"/>
      <c r="H17" s="165">
        <v>7.4</v>
      </c>
      <c r="I17" s="175">
        <f>H17/16*F17</f>
        <v>0.92500000000000004</v>
      </c>
      <c r="J17" s="167"/>
      <c r="K17" s="167"/>
      <c r="L17" s="167"/>
      <c r="M17" s="167"/>
      <c r="N17" s="168"/>
    </row>
    <row r="18" spans="1:15" x14ac:dyDescent="0.3">
      <c r="A18" s="161" t="s">
        <v>157</v>
      </c>
      <c r="B18" s="161" t="s">
        <v>157</v>
      </c>
      <c r="C18" s="162"/>
      <c r="D18" s="169" t="s">
        <v>470</v>
      </c>
      <c r="E18" s="165"/>
      <c r="F18" s="165"/>
      <c r="G18" s="183"/>
      <c r="H18" s="165"/>
      <c r="I18" s="175"/>
      <c r="J18" s="167" t="s">
        <v>471</v>
      </c>
      <c r="K18" s="167"/>
      <c r="L18" s="167"/>
      <c r="M18" s="167"/>
      <c r="N18" s="168"/>
    </row>
    <row r="19" spans="1:15" x14ac:dyDescent="0.3">
      <c r="J19" s="167"/>
      <c r="K19" s="167"/>
      <c r="L19" s="167"/>
      <c r="M19" s="167"/>
      <c r="N19" s="168"/>
      <c r="O19" t="s">
        <v>432</v>
      </c>
    </row>
    <row r="20" spans="1:15" x14ac:dyDescent="0.3">
      <c r="A20" s="161" t="s">
        <v>157</v>
      </c>
      <c r="B20" s="161" t="s">
        <v>157</v>
      </c>
      <c r="C20" s="162"/>
      <c r="D20" s="169" t="s">
        <v>409</v>
      </c>
      <c r="E20" s="165"/>
      <c r="F20" s="165"/>
      <c r="G20" s="165"/>
      <c r="H20" s="165"/>
      <c r="I20" s="166"/>
      <c r="J20" s="167"/>
      <c r="K20" s="167"/>
      <c r="L20" s="167"/>
      <c r="M20" s="167"/>
      <c r="N20" s="168"/>
    </row>
    <row r="21" spans="1:15" x14ac:dyDescent="0.3">
      <c r="A21" s="161"/>
      <c r="B21" s="161"/>
      <c r="C21" s="162"/>
      <c r="D21" s="169" t="s">
        <v>413</v>
      </c>
      <c r="E21" s="165" t="s">
        <v>622</v>
      </c>
      <c r="F21" s="165"/>
      <c r="G21" s="165"/>
      <c r="H21" s="165">
        <v>7.5</v>
      </c>
      <c r="I21" s="175">
        <f>H21/16</f>
        <v>0.46875</v>
      </c>
      <c r="J21" s="167"/>
      <c r="K21" s="167"/>
      <c r="L21" s="167"/>
      <c r="M21" s="167"/>
      <c r="N21" s="168"/>
    </row>
    <row r="22" spans="1:15" x14ac:dyDescent="0.3">
      <c r="A22" s="161" t="s">
        <v>157</v>
      </c>
      <c r="B22" s="161" t="s">
        <v>157</v>
      </c>
      <c r="C22" s="162" t="s">
        <v>157</v>
      </c>
      <c r="D22" s="169" t="s">
        <v>72</v>
      </c>
      <c r="E22" s="165"/>
      <c r="F22" s="165"/>
      <c r="G22" s="183">
        <v>5</v>
      </c>
      <c r="H22" s="165">
        <v>4</v>
      </c>
      <c r="I22" s="175">
        <f>H22/16</f>
        <v>0.25</v>
      </c>
      <c r="J22" s="167"/>
      <c r="K22" s="167"/>
      <c r="L22" s="167"/>
      <c r="M22" s="167"/>
      <c r="N22" s="168"/>
    </row>
    <row r="23" spans="1:15" x14ac:dyDescent="0.3">
      <c r="A23" s="161" t="s">
        <v>157</v>
      </c>
      <c r="B23" s="161"/>
      <c r="C23" s="162"/>
      <c r="D23" s="169" t="s">
        <v>142</v>
      </c>
      <c r="E23" s="165" t="s">
        <v>632</v>
      </c>
      <c r="F23" s="165"/>
      <c r="G23" s="183"/>
      <c r="H23" s="165"/>
      <c r="I23" s="175"/>
      <c r="J23" s="167"/>
      <c r="K23" s="167"/>
      <c r="L23" s="167"/>
      <c r="M23" s="167"/>
      <c r="N23" s="168"/>
    </row>
    <row r="24" spans="1:15" x14ac:dyDescent="0.3">
      <c r="A24" s="161" t="s">
        <v>157</v>
      </c>
      <c r="B24" s="161"/>
      <c r="C24" s="162"/>
      <c r="D24" s="169" t="s">
        <v>143</v>
      </c>
      <c r="E24" s="165"/>
      <c r="F24" s="165">
        <v>7</v>
      </c>
      <c r="G24" s="183"/>
      <c r="H24" s="165"/>
      <c r="I24" s="175"/>
      <c r="J24" s="167"/>
      <c r="K24" s="167"/>
      <c r="L24" s="167"/>
      <c r="M24" s="167"/>
      <c r="N24" s="168"/>
    </row>
    <row r="25" spans="1:15" ht="28.8" x14ac:dyDescent="0.3">
      <c r="A25" s="161" t="s">
        <v>157</v>
      </c>
      <c r="B25" s="161"/>
      <c r="C25" s="162"/>
      <c r="D25" s="169" t="s">
        <v>638</v>
      </c>
      <c r="E25" s="165" t="s">
        <v>495</v>
      </c>
      <c r="F25" s="165">
        <v>6</v>
      </c>
      <c r="G25" s="165"/>
      <c r="H25" s="165">
        <v>0.7</v>
      </c>
      <c r="I25" s="175">
        <f>H25/16</f>
        <v>4.3749999999999997E-2</v>
      </c>
      <c r="J25" s="267" t="s">
        <v>606</v>
      </c>
      <c r="K25" s="167"/>
      <c r="L25" s="167"/>
      <c r="M25" s="167"/>
      <c r="N25" s="168"/>
      <c r="O25" s="26" t="s">
        <v>607</v>
      </c>
    </row>
    <row r="26" spans="1:15" ht="15" thickBot="1" x14ac:dyDescent="0.35">
      <c r="A26" s="161"/>
      <c r="B26" s="161" t="s">
        <v>157</v>
      </c>
      <c r="C26" s="170"/>
      <c r="D26" s="188" t="s">
        <v>120</v>
      </c>
      <c r="E26" s="189"/>
      <c r="F26" s="189">
        <v>1</v>
      </c>
      <c r="G26" s="190"/>
      <c r="H26" s="189"/>
      <c r="I26" s="191"/>
      <c r="J26" s="267" t="s">
        <v>478</v>
      </c>
      <c r="K26" s="167"/>
      <c r="L26" s="167"/>
      <c r="M26" s="167"/>
      <c r="N26" s="168"/>
    </row>
    <row r="27" spans="1:15" x14ac:dyDescent="0.3">
      <c r="A27" s="162"/>
      <c r="B27" s="162"/>
      <c r="C27" s="192"/>
      <c r="D27" s="193" t="s">
        <v>449</v>
      </c>
      <c r="E27" s="194"/>
      <c r="F27" s="194"/>
      <c r="G27" s="195"/>
      <c r="H27" s="194"/>
      <c r="I27" s="196"/>
      <c r="J27" s="167"/>
      <c r="K27" s="167"/>
      <c r="L27" s="167"/>
      <c r="M27" s="167"/>
      <c r="N27" s="168"/>
    </row>
    <row r="28" spans="1:15" x14ac:dyDescent="0.3">
      <c r="A28" s="162"/>
      <c r="B28" s="162" t="s">
        <v>157</v>
      </c>
      <c r="C28" s="162"/>
      <c r="D28" s="169" t="s">
        <v>144</v>
      </c>
      <c r="E28" s="165"/>
      <c r="F28" s="165">
        <v>2</v>
      </c>
      <c r="G28" s="183"/>
      <c r="H28" s="165"/>
      <c r="I28" s="175"/>
      <c r="J28" s="167"/>
      <c r="K28" s="167"/>
      <c r="L28" s="167"/>
      <c r="M28" s="167"/>
      <c r="N28" s="168"/>
    </row>
    <row r="29" spans="1:15" x14ac:dyDescent="0.3">
      <c r="A29" s="162"/>
      <c r="B29" s="162" t="s">
        <v>157</v>
      </c>
      <c r="C29" s="162"/>
      <c r="D29" s="169" t="s">
        <v>204</v>
      </c>
      <c r="E29" s="165"/>
      <c r="F29" s="165">
        <v>1</v>
      </c>
      <c r="G29" s="183"/>
      <c r="H29" s="165"/>
      <c r="I29" s="175"/>
      <c r="J29" s="167"/>
      <c r="K29" s="167"/>
      <c r="L29" s="167"/>
      <c r="M29" s="167"/>
      <c r="N29" s="168"/>
    </row>
    <row r="30" spans="1:15" x14ac:dyDescent="0.3">
      <c r="A30" s="162"/>
      <c r="B30" s="162" t="s">
        <v>157</v>
      </c>
      <c r="C30" s="162"/>
      <c r="D30" s="169" t="s">
        <v>231</v>
      </c>
      <c r="E30" s="165" t="s">
        <v>564</v>
      </c>
      <c r="F30" s="165">
        <v>1</v>
      </c>
      <c r="G30" s="183"/>
      <c r="H30" s="165"/>
      <c r="I30" s="175"/>
      <c r="J30" s="267" t="s">
        <v>454</v>
      </c>
      <c r="K30" s="167"/>
      <c r="L30" s="167"/>
      <c r="M30" s="167"/>
      <c r="N30" s="168"/>
    </row>
    <row r="31" spans="1:15" x14ac:dyDescent="0.3">
      <c r="A31" s="162"/>
      <c r="B31" s="162" t="s">
        <v>157</v>
      </c>
      <c r="C31" s="162" t="s">
        <v>167</v>
      </c>
      <c r="D31" s="169" t="s">
        <v>455</v>
      </c>
      <c r="E31" s="165" t="s">
        <v>633</v>
      </c>
      <c r="F31" s="165">
        <v>1</v>
      </c>
      <c r="G31" s="183"/>
      <c r="H31" s="165"/>
      <c r="I31" s="175"/>
      <c r="J31" s="167" t="s">
        <v>457</v>
      </c>
      <c r="K31" s="167"/>
      <c r="L31" s="167"/>
      <c r="M31" s="167"/>
      <c r="N31" s="168"/>
    </row>
    <row r="32" spans="1:15" x14ac:dyDescent="0.3">
      <c r="A32" s="162"/>
      <c r="B32" s="162" t="s">
        <v>157</v>
      </c>
      <c r="C32" s="162" t="s">
        <v>167</v>
      </c>
      <c r="D32" s="169" t="s">
        <v>456</v>
      </c>
      <c r="E32" s="165" t="s">
        <v>566</v>
      </c>
      <c r="F32" s="165">
        <v>1</v>
      </c>
      <c r="G32" s="183"/>
      <c r="H32" s="165"/>
      <c r="I32" s="175"/>
      <c r="J32" s="167" t="s">
        <v>457</v>
      </c>
      <c r="K32" s="167"/>
      <c r="L32" s="167"/>
      <c r="M32" s="167"/>
      <c r="N32" s="168"/>
    </row>
    <row r="33" spans="1:14" x14ac:dyDescent="0.3">
      <c r="A33" s="162"/>
      <c r="B33" s="162"/>
      <c r="C33" s="162"/>
      <c r="D33" s="169" t="s">
        <v>198</v>
      </c>
      <c r="E33" s="165"/>
      <c r="F33" s="165"/>
      <c r="G33" s="183"/>
      <c r="H33" s="165"/>
      <c r="I33" s="175"/>
      <c r="J33" s="167" t="s">
        <v>451</v>
      </c>
      <c r="K33" s="167"/>
      <c r="L33" s="167"/>
      <c r="M33" s="167"/>
      <c r="N33" s="168"/>
    </row>
    <row r="34" spans="1:14" x14ac:dyDescent="0.3">
      <c r="A34" s="162"/>
      <c r="B34" s="162" t="s">
        <v>157</v>
      </c>
      <c r="C34" s="162"/>
      <c r="D34" s="169" t="s">
        <v>209</v>
      </c>
      <c r="E34" s="165" t="s">
        <v>634</v>
      </c>
      <c r="F34" s="165">
        <v>10</v>
      </c>
      <c r="G34" s="165"/>
      <c r="H34" s="165"/>
      <c r="I34" s="166"/>
      <c r="J34" s="167" t="s">
        <v>453</v>
      </c>
      <c r="K34" s="167"/>
      <c r="L34" s="167"/>
      <c r="M34" s="167"/>
      <c r="N34" s="168"/>
    </row>
    <row r="35" spans="1:14" x14ac:dyDescent="0.3">
      <c r="A35" s="162"/>
      <c r="B35" s="162"/>
      <c r="C35" s="170"/>
      <c r="D35" s="188" t="s">
        <v>639</v>
      </c>
      <c r="E35" s="189"/>
      <c r="F35" s="189"/>
      <c r="G35" s="189"/>
      <c r="H35" s="189"/>
      <c r="I35" s="197"/>
      <c r="J35" s="167"/>
      <c r="K35" s="167"/>
      <c r="L35" s="167"/>
      <c r="M35" s="167"/>
      <c r="N35" s="168"/>
    </row>
    <row r="36" spans="1:14" x14ac:dyDescent="0.3">
      <c r="A36" s="162"/>
      <c r="B36" s="162"/>
      <c r="C36" s="170"/>
      <c r="D36" s="188" t="s">
        <v>601</v>
      </c>
      <c r="E36" s="189"/>
      <c r="F36" s="189"/>
      <c r="G36" s="189"/>
      <c r="H36" s="189"/>
      <c r="I36" s="197"/>
      <c r="J36" s="167"/>
      <c r="K36" s="167"/>
      <c r="L36" s="167"/>
      <c r="M36" s="167"/>
      <c r="N36" s="168"/>
    </row>
    <row r="37" spans="1:14" ht="15" thickBot="1" x14ac:dyDescent="0.35">
      <c r="A37" s="162"/>
      <c r="B37" s="162"/>
      <c r="C37" s="170"/>
      <c r="D37" s="188"/>
      <c r="E37" s="189"/>
      <c r="F37" s="189"/>
      <c r="G37" s="190"/>
      <c r="H37" s="189"/>
      <c r="I37" s="191"/>
      <c r="J37" s="167"/>
      <c r="K37" s="167"/>
      <c r="L37" s="167"/>
      <c r="M37" s="167"/>
      <c r="N37" s="168"/>
    </row>
    <row r="38" spans="1:14" x14ac:dyDescent="0.3">
      <c r="A38" s="162"/>
      <c r="B38" s="162" t="s">
        <v>157</v>
      </c>
      <c r="C38" s="192"/>
      <c r="D38" s="193" t="s">
        <v>458</v>
      </c>
      <c r="E38" s="194"/>
      <c r="F38" s="194"/>
      <c r="G38" s="195"/>
      <c r="H38" s="194"/>
      <c r="I38" s="196"/>
      <c r="J38" s="167"/>
      <c r="K38" s="167"/>
      <c r="L38" s="167"/>
      <c r="M38" s="167"/>
      <c r="N38" s="168"/>
    </row>
    <row r="39" spans="1:14" x14ac:dyDescent="0.3">
      <c r="A39" s="161"/>
      <c r="B39" s="161" t="s">
        <v>157</v>
      </c>
      <c r="C39" s="162"/>
      <c r="D39" s="169" t="s">
        <v>135</v>
      </c>
      <c r="E39" s="165" t="s">
        <v>635</v>
      </c>
      <c r="F39" s="165">
        <v>1</v>
      </c>
      <c r="G39" s="183"/>
      <c r="H39" s="165"/>
      <c r="I39" s="175"/>
      <c r="J39" s="267" t="s">
        <v>461</v>
      </c>
      <c r="K39" s="167"/>
      <c r="L39" s="167"/>
      <c r="M39" s="167"/>
      <c r="N39" s="168"/>
    </row>
    <row r="40" spans="1:14" x14ac:dyDescent="0.3">
      <c r="A40" s="161"/>
      <c r="B40" s="161" t="s">
        <v>157</v>
      </c>
      <c r="C40" s="162"/>
      <c r="D40" s="169" t="s">
        <v>444</v>
      </c>
      <c r="E40" s="169" t="s">
        <v>597</v>
      </c>
      <c r="F40" s="165">
        <v>1</v>
      </c>
      <c r="G40" s="183">
        <v>299</v>
      </c>
      <c r="H40" s="165">
        <v>3.5</v>
      </c>
      <c r="I40" s="175">
        <f>H40/16</f>
        <v>0.21875</v>
      </c>
      <c r="J40" s="167" t="s">
        <v>445</v>
      </c>
      <c r="K40" s="167"/>
      <c r="L40" s="167"/>
      <c r="M40" s="167"/>
      <c r="N40" s="168"/>
    </row>
    <row r="41" spans="1:14" x14ac:dyDescent="0.3">
      <c r="A41" s="162"/>
      <c r="B41" s="162" t="s">
        <v>157</v>
      </c>
      <c r="C41" s="162"/>
      <c r="D41" s="169" t="s">
        <v>459</v>
      </c>
      <c r="E41" s="165"/>
      <c r="F41" s="165">
        <v>1</v>
      </c>
      <c r="G41" s="183"/>
      <c r="H41" s="165"/>
      <c r="I41" s="175"/>
      <c r="J41" s="167"/>
      <c r="K41" s="167"/>
      <c r="L41" s="167"/>
      <c r="M41" s="167"/>
      <c r="N41" s="168"/>
    </row>
    <row r="42" spans="1:14" x14ac:dyDescent="0.3">
      <c r="A42" s="162"/>
      <c r="B42" s="162" t="s">
        <v>157</v>
      </c>
      <c r="C42" s="162"/>
      <c r="D42" s="169" t="s">
        <v>460</v>
      </c>
      <c r="E42" s="165"/>
      <c r="F42" s="165">
        <v>1</v>
      </c>
      <c r="G42" s="183"/>
      <c r="H42" s="165"/>
      <c r="I42" s="175"/>
      <c r="J42" s="167"/>
      <c r="K42" s="167"/>
      <c r="L42" s="167"/>
      <c r="M42" s="167"/>
      <c r="N42" s="168"/>
    </row>
    <row r="43" spans="1:14" ht="15" thickBot="1" x14ac:dyDescent="0.35">
      <c r="A43" s="162"/>
      <c r="B43" s="162"/>
      <c r="C43" s="170"/>
      <c r="D43" s="169" t="s">
        <v>197</v>
      </c>
      <c r="E43" s="185"/>
      <c r="F43" s="185"/>
      <c r="G43" s="199"/>
      <c r="H43" s="185"/>
      <c r="I43" s="200"/>
      <c r="J43" s="167"/>
      <c r="K43" s="167"/>
      <c r="L43" s="167"/>
      <c r="M43" s="167"/>
      <c r="N43" s="168"/>
    </row>
    <row r="44" spans="1:14" x14ac:dyDescent="0.3">
      <c r="A44" s="162"/>
      <c r="B44" s="162"/>
      <c r="C44" s="192"/>
      <c r="D44" s="201" t="s">
        <v>555</v>
      </c>
      <c r="E44" s="202"/>
      <c r="F44" s="202"/>
      <c r="G44" s="203"/>
      <c r="H44" s="202"/>
      <c r="I44" s="204"/>
      <c r="J44" s="167"/>
      <c r="K44" s="167"/>
      <c r="L44" s="167"/>
      <c r="M44" s="167"/>
      <c r="N44" s="168"/>
    </row>
    <row r="45" spans="1:14" x14ac:dyDescent="0.3">
      <c r="A45" s="162" t="s">
        <v>611</v>
      </c>
      <c r="B45" s="162" t="s">
        <v>157</v>
      </c>
      <c r="C45" s="192"/>
      <c r="D45" s="205" t="s">
        <v>560</v>
      </c>
      <c r="E45" s="202"/>
      <c r="F45" s="202">
        <v>2</v>
      </c>
      <c r="G45" s="203"/>
      <c r="H45" s="202"/>
      <c r="I45" s="204"/>
      <c r="J45" s="167"/>
      <c r="K45" s="167"/>
      <c r="L45" s="167"/>
      <c r="M45" s="167"/>
      <c r="N45" s="168"/>
    </row>
    <row r="46" spans="1:14" x14ac:dyDescent="0.3">
      <c r="A46" s="162" t="s">
        <v>157</v>
      </c>
      <c r="B46" s="162" t="s">
        <v>157</v>
      </c>
      <c r="C46" s="192"/>
      <c r="D46" s="205" t="s">
        <v>539</v>
      </c>
      <c r="E46" s="202"/>
      <c r="F46" s="202">
        <v>4</v>
      </c>
      <c r="G46" s="203"/>
      <c r="H46" s="202"/>
      <c r="I46" s="204"/>
      <c r="J46" s="167"/>
      <c r="K46" s="167"/>
      <c r="L46" s="167"/>
      <c r="M46" s="167"/>
      <c r="N46" s="168"/>
    </row>
    <row r="47" spans="1:14" x14ac:dyDescent="0.3">
      <c r="A47" s="162" t="s">
        <v>157</v>
      </c>
      <c r="B47" s="162" t="s">
        <v>157</v>
      </c>
      <c r="C47" s="192"/>
      <c r="D47" s="205" t="s">
        <v>540</v>
      </c>
      <c r="E47" s="202"/>
      <c r="F47" s="202">
        <v>4</v>
      </c>
      <c r="G47" s="203"/>
      <c r="H47" s="202"/>
      <c r="I47" s="204"/>
      <c r="J47" s="167"/>
      <c r="K47" s="167"/>
      <c r="L47" s="167"/>
      <c r="M47" s="167"/>
      <c r="N47" s="168"/>
    </row>
    <row r="48" spans="1:14" x14ac:dyDescent="0.3">
      <c r="A48" s="162"/>
      <c r="B48" s="162" t="s">
        <v>157</v>
      </c>
      <c r="C48" s="192"/>
      <c r="D48" s="205" t="s">
        <v>542</v>
      </c>
      <c r="E48" s="202"/>
      <c r="F48" s="202">
        <v>4</v>
      </c>
      <c r="G48" s="203"/>
      <c r="H48" s="202"/>
      <c r="I48" s="204"/>
      <c r="J48" s="167"/>
      <c r="K48" s="167"/>
      <c r="L48" s="167"/>
      <c r="M48" s="167"/>
      <c r="N48" s="168"/>
    </row>
    <row r="49" spans="1:14" x14ac:dyDescent="0.3">
      <c r="A49" s="162" t="s">
        <v>157</v>
      </c>
      <c r="B49" s="162" t="s">
        <v>157</v>
      </c>
      <c r="C49" s="192"/>
      <c r="D49" s="205" t="s">
        <v>551</v>
      </c>
      <c r="E49" s="202"/>
      <c r="F49" s="202">
        <v>4</v>
      </c>
      <c r="G49" s="203"/>
      <c r="H49" s="202"/>
      <c r="I49" s="204"/>
      <c r="J49" s="167"/>
      <c r="K49" s="167"/>
      <c r="L49" s="167"/>
      <c r="M49" s="167"/>
      <c r="N49" s="168"/>
    </row>
    <row r="50" spans="1:14" x14ac:dyDescent="0.3">
      <c r="A50" s="162" t="s">
        <v>157</v>
      </c>
      <c r="B50" s="162" t="s">
        <v>157</v>
      </c>
      <c r="C50" s="192"/>
      <c r="D50" s="205" t="s">
        <v>554</v>
      </c>
      <c r="E50" s="202"/>
      <c r="F50" s="202">
        <v>2</v>
      </c>
      <c r="G50" s="203"/>
      <c r="H50" s="202"/>
      <c r="I50" s="204"/>
      <c r="J50" s="167"/>
      <c r="K50" s="167"/>
      <c r="L50" s="167"/>
      <c r="M50" s="167"/>
      <c r="N50" s="168"/>
    </row>
    <row r="51" spans="1:14" x14ac:dyDescent="0.3">
      <c r="A51" s="162" t="s">
        <v>157</v>
      </c>
      <c r="B51" s="162" t="s">
        <v>157</v>
      </c>
      <c r="C51" s="192"/>
      <c r="D51" s="205" t="s">
        <v>552</v>
      </c>
      <c r="E51" s="202"/>
      <c r="F51" s="202">
        <v>2</v>
      </c>
      <c r="G51" s="203"/>
      <c r="H51" s="202"/>
      <c r="I51" s="204"/>
      <c r="J51" s="167"/>
      <c r="K51" s="167"/>
      <c r="L51" s="167"/>
      <c r="M51" s="167"/>
      <c r="N51" s="168"/>
    </row>
    <row r="52" spans="1:14" x14ac:dyDescent="0.3">
      <c r="A52" s="162"/>
      <c r="B52" s="162"/>
      <c r="C52" s="192"/>
      <c r="D52" s="205" t="s">
        <v>553</v>
      </c>
      <c r="E52" s="202"/>
      <c r="F52" s="202">
        <v>1</v>
      </c>
      <c r="G52" s="203"/>
      <c r="H52" s="202"/>
      <c r="I52" s="204"/>
      <c r="J52" s="167"/>
      <c r="K52" s="167"/>
      <c r="L52" s="167"/>
      <c r="M52" s="167"/>
      <c r="N52" s="168"/>
    </row>
    <row r="53" spans="1:14" x14ac:dyDescent="0.3">
      <c r="A53" s="162" t="s">
        <v>157</v>
      </c>
      <c r="B53" s="162" t="s">
        <v>157</v>
      </c>
      <c r="C53" s="192"/>
      <c r="D53" s="205" t="s">
        <v>544</v>
      </c>
      <c r="E53" s="202" t="s">
        <v>545</v>
      </c>
      <c r="F53" s="202">
        <v>20</v>
      </c>
      <c r="G53" s="203"/>
      <c r="H53" s="202"/>
      <c r="I53" s="204"/>
      <c r="J53" s="167"/>
      <c r="K53" s="167"/>
      <c r="L53" s="167"/>
      <c r="M53" s="167"/>
      <c r="N53" s="168"/>
    </row>
    <row r="54" spans="1:14" x14ac:dyDescent="0.3">
      <c r="A54" s="162"/>
      <c r="B54" s="162" t="s">
        <v>157</v>
      </c>
      <c r="C54" s="192"/>
      <c r="D54" s="205" t="s">
        <v>546</v>
      </c>
      <c r="E54" s="202"/>
      <c r="F54" s="202">
        <v>4</v>
      </c>
      <c r="G54" s="203"/>
      <c r="H54" s="202"/>
      <c r="I54" s="204"/>
      <c r="J54" s="167"/>
      <c r="K54" s="167"/>
      <c r="L54" s="167"/>
      <c r="M54" s="167"/>
      <c r="N54" s="168"/>
    </row>
    <row r="55" spans="1:14" x14ac:dyDescent="0.3">
      <c r="A55" s="162"/>
      <c r="B55" s="162" t="s">
        <v>157</v>
      </c>
      <c r="C55" s="192"/>
      <c r="D55" s="205" t="s">
        <v>550</v>
      </c>
      <c r="E55" s="202"/>
      <c r="F55" s="202">
        <v>4</v>
      </c>
      <c r="G55" s="203"/>
      <c r="H55" s="202"/>
      <c r="I55" s="204"/>
      <c r="J55" s="167"/>
      <c r="K55" s="167"/>
      <c r="L55" s="167"/>
      <c r="M55" s="167"/>
      <c r="N55" s="168"/>
    </row>
    <row r="56" spans="1:14" x14ac:dyDescent="0.3">
      <c r="A56" s="162"/>
      <c r="B56" s="162" t="s">
        <v>157</v>
      </c>
      <c r="C56" s="192"/>
      <c r="D56" s="205" t="s">
        <v>549</v>
      </c>
      <c r="E56" s="202"/>
      <c r="F56" s="202">
        <v>4</v>
      </c>
      <c r="G56" s="203"/>
      <c r="H56" s="202"/>
      <c r="I56" s="204"/>
      <c r="J56" s="167"/>
      <c r="K56" s="167"/>
      <c r="L56" s="167"/>
      <c r="M56" s="167"/>
      <c r="N56" s="168"/>
    </row>
    <row r="57" spans="1:14" x14ac:dyDescent="0.3">
      <c r="A57" s="162"/>
      <c r="B57" s="162"/>
      <c r="C57" s="192"/>
      <c r="D57" s="205" t="s">
        <v>561</v>
      </c>
      <c r="E57" s="202"/>
      <c r="F57" s="202">
        <v>1</v>
      </c>
      <c r="G57" s="203"/>
      <c r="H57" s="202"/>
      <c r="I57" s="204"/>
      <c r="J57" s="167"/>
      <c r="K57" s="167"/>
      <c r="L57" s="167"/>
      <c r="M57" s="167"/>
      <c r="N57" s="168"/>
    </row>
    <row r="58" spans="1:14" x14ac:dyDescent="0.3">
      <c r="A58" s="162"/>
      <c r="B58" s="162"/>
      <c r="C58" s="192"/>
      <c r="D58" s="205" t="s">
        <v>547</v>
      </c>
      <c r="E58" s="206" t="s">
        <v>548</v>
      </c>
      <c r="F58" s="202">
        <v>1</v>
      </c>
      <c r="G58" s="203"/>
      <c r="H58" s="202">
        <v>4.4000000000000004</v>
      </c>
      <c r="I58" s="204"/>
      <c r="J58" s="167"/>
      <c r="K58" s="167"/>
      <c r="L58" s="167"/>
      <c r="M58" s="167"/>
      <c r="N58" s="168"/>
    </row>
    <row r="59" spans="1:14" x14ac:dyDescent="0.3">
      <c r="A59" s="162"/>
      <c r="B59" s="162" t="s">
        <v>157</v>
      </c>
      <c r="C59" s="192"/>
      <c r="D59" s="205" t="s">
        <v>543</v>
      </c>
      <c r="E59" s="206"/>
      <c r="F59" s="202">
        <v>1</v>
      </c>
      <c r="G59" s="203"/>
      <c r="H59" s="202"/>
      <c r="I59" s="204"/>
      <c r="J59" s="167"/>
      <c r="K59" s="167"/>
      <c r="L59" s="167"/>
      <c r="M59" s="167"/>
      <c r="N59" s="168"/>
    </row>
    <row r="60" spans="1:14" x14ac:dyDescent="0.3">
      <c r="A60" s="162" t="s">
        <v>157</v>
      </c>
      <c r="B60" s="162" t="s">
        <v>157</v>
      </c>
      <c r="C60" s="192"/>
      <c r="D60" s="205" t="s">
        <v>541</v>
      </c>
      <c r="E60" s="206"/>
      <c r="F60" s="202">
        <v>4</v>
      </c>
      <c r="G60" s="203"/>
      <c r="H60" s="202"/>
      <c r="I60" s="204"/>
      <c r="J60" s="167"/>
      <c r="K60" s="167"/>
      <c r="L60" s="167"/>
      <c r="M60" s="167"/>
      <c r="N60" s="168"/>
    </row>
    <row r="61" spans="1:14" x14ac:dyDescent="0.3">
      <c r="A61" s="162"/>
      <c r="B61" s="162" t="s">
        <v>157</v>
      </c>
      <c r="C61" s="192"/>
      <c r="D61" s="205" t="s">
        <v>562</v>
      </c>
      <c r="E61" s="206"/>
      <c r="F61" s="202">
        <v>1</v>
      </c>
      <c r="G61" s="203"/>
      <c r="H61" s="202"/>
      <c r="I61" s="204"/>
      <c r="J61" s="167"/>
      <c r="K61" s="167"/>
      <c r="L61" s="167"/>
      <c r="M61" s="167"/>
      <c r="N61" s="168"/>
    </row>
    <row r="62" spans="1:14" x14ac:dyDescent="0.3">
      <c r="A62" s="162"/>
      <c r="B62" s="162"/>
      <c r="C62" s="192"/>
      <c r="D62" s="205" t="s">
        <v>640</v>
      </c>
      <c r="E62" s="206"/>
      <c r="F62" s="202"/>
      <c r="G62" s="203"/>
      <c r="H62" s="202"/>
      <c r="I62" s="204"/>
      <c r="J62" s="167"/>
      <c r="K62" s="167"/>
      <c r="L62" s="167"/>
      <c r="M62" s="167"/>
      <c r="N62" s="168"/>
    </row>
    <row r="63" spans="1:14" x14ac:dyDescent="0.3">
      <c r="A63" s="162"/>
      <c r="B63" s="162"/>
      <c r="C63" s="192"/>
      <c r="D63" s="201" t="s">
        <v>556</v>
      </c>
      <c r="E63" s="206"/>
      <c r="F63" s="202"/>
      <c r="G63" s="203"/>
      <c r="H63" s="202"/>
      <c r="I63" s="204"/>
      <c r="J63" s="167"/>
      <c r="K63" s="167"/>
      <c r="L63" s="167"/>
      <c r="M63" s="167"/>
      <c r="N63" s="168"/>
    </row>
    <row r="64" spans="1:14" x14ac:dyDescent="0.3">
      <c r="A64" s="162"/>
      <c r="B64" s="162" t="s">
        <v>157</v>
      </c>
      <c r="C64" s="192"/>
      <c r="D64" s="205" t="s">
        <v>557</v>
      </c>
      <c r="E64" s="266" t="s">
        <v>610</v>
      </c>
      <c r="F64" s="202">
        <v>2</v>
      </c>
      <c r="G64" s="203"/>
      <c r="H64" s="202"/>
      <c r="I64" s="204"/>
      <c r="J64" s="167"/>
      <c r="K64" s="167"/>
      <c r="L64" s="167"/>
      <c r="M64" s="167"/>
      <c r="N64" s="168"/>
    </row>
    <row r="65" spans="1:14" x14ac:dyDescent="0.3">
      <c r="A65" s="162" t="s">
        <v>157</v>
      </c>
      <c r="B65" s="162" t="s">
        <v>157</v>
      </c>
      <c r="C65" s="192"/>
      <c r="D65" s="169" t="s">
        <v>245</v>
      </c>
      <c r="E65" s="165" t="s">
        <v>246</v>
      </c>
      <c r="F65" s="165">
        <v>1</v>
      </c>
      <c r="G65" s="183">
        <v>21</v>
      </c>
      <c r="H65" s="165">
        <v>3.9</v>
      </c>
      <c r="I65" s="175">
        <f>H65/16</f>
        <v>0.24374999999999999</v>
      </c>
      <c r="J65" s="167" t="s">
        <v>468</v>
      </c>
      <c r="K65" s="167"/>
      <c r="L65" s="167"/>
      <c r="M65" s="167"/>
      <c r="N65" s="168"/>
    </row>
    <row r="66" spans="1:14" x14ac:dyDescent="0.3">
      <c r="A66" s="161" t="s">
        <v>157</v>
      </c>
      <c r="B66" s="161" t="s">
        <v>157</v>
      </c>
      <c r="C66" s="170"/>
      <c r="D66" s="170" t="s">
        <v>559</v>
      </c>
      <c r="E66" s="171"/>
      <c r="F66" s="165"/>
      <c r="G66" s="165"/>
      <c r="H66" s="165"/>
      <c r="I66" s="166"/>
      <c r="J66" s="167"/>
      <c r="K66" s="167"/>
      <c r="L66" s="167"/>
      <c r="M66" s="167"/>
      <c r="N66" s="168"/>
    </row>
    <row r="67" spans="1:14" x14ac:dyDescent="0.3">
      <c r="A67" s="161"/>
      <c r="B67" s="161"/>
      <c r="C67" s="192"/>
      <c r="D67" s="201" t="s">
        <v>187</v>
      </c>
      <c r="E67" s="207"/>
      <c r="F67" s="202"/>
      <c r="G67" s="203"/>
      <c r="H67" s="202"/>
      <c r="I67" s="208"/>
      <c r="J67" s="167"/>
      <c r="K67" s="167"/>
      <c r="L67" s="167"/>
      <c r="M67" s="167"/>
      <c r="N67" s="168"/>
    </row>
    <row r="68" spans="1:14" x14ac:dyDescent="0.3">
      <c r="A68" s="161"/>
      <c r="B68" s="161" t="s">
        <v>157</v>
      </c>
      <c r="C68" s="162"/>
      <c r="D68" s="209" t="s">
        <v>189</v>
      </c>
      <c r="E68" s="210" t="s">
        <v>272</v>
      </c>
      <c r="F68" s="165">
        <v>1</v>
      </c>
      <c r="G68" s="183">
        <v>170</v>
      </c>
      <c r="H68" s="165">
        <f>I68*16</f>
        <v>63.36</v>
      </c>
      <c r="I68" s="178">
        <v>3.96</v>
      </c>
      <c r="J68" s="167"/>
      <c r="K68" s="167"/>
      <c r="L68" s="167"/>
      <c r="M68" s="167"/>
      <c r="N68" s="168"/>
    </row>
    <row r="69" spans="1:14" x14ac:dyDescent="0.3">
      <c r="A69" s="161"/>
      <c r="B69" s="161" t="s">
        <v>157</v>
      </c>
      <c r="C69" s="162"/>
      <c r="D69" s="209" t="s">
        <v>190</v>
      </c>
      <c r="E69" s="210" t="s">
        <v>235</v>
      </c>
      <c r="F69" s="165">
        <v>1</v>
      </c>
      <c r="G69" s="183">
        <v>55</v>
      </c>
      <c r="H69" s="165"/>
      <c r="I69" s="178"/>
      <c r="J69" s="167"/>
      <c r="K69" s="167"/>
      <c r="L69" s="167"/>
      <c r="M69" s="167"/>
      <c r="N69" s="168"/>
    </row>
    <row r="70" spans="1:14" x14ac:dyDescent="0.3">
      <c r="A70" s="161"/>
      <c r="B70" s="161" t="s">
        <v>157</v>
      </c>
      <c r="C70" s="162"/>
      <c r="D70" s="209" t="s">
        <v>191</v>
      </c>
      <c r="E70" s="210" t="s">
        <v>273</v>
      </c>
      <c r="F70" s="165">
        <v>3</v>
      </c>
      <c r="G70" s="183"/>
      <c r="H70" s="165"/>
      <c r="I70" s="178"/>
      <c r="J70" s="167"/>
      <c r="K70" s="167"/>
      <c r="L70" s="167"/>
      <c r="M70" s="167"/>
      <c r="N70" s="168"/>
    </row>
    <row r="71" spans="1:14" x14ac:dyDescent="0.3">
      <c r="A71" s="161" t="s">
        <v>157</v>
      </c>
      <c r="B71" s="161" t="s">
        <v>157</v>
      </c>
      <c r="C71" s="162"/>
      <c r="D71" s="209" t="s">
        <v>502</v>
      </c>
      <c r="E71" s="210" t="s">
        <v>503</v>
      </c>
      <c r="F71" s="165">
        <v>1</v>
      </c>
      <c r="G71" s="183"/>
      <c r="H71" s="165"/>
      <c r="I71" s="178"/>
      <c r="J71" s="167"/>
      <c r="K71" s="167"/>
      <c r="L71" s="167"/>
      <c r="M71" s="167"/>
      <c r="N71" s="168"/>
    </row>
    <row r="72" spans="1:14" x14ac:dyDescent="0.3">
      <c r="A72" s="161"/>
      <c r="B72" s="161" t="s">
        <v>157</v>
      </c>
      <c r="C72" s="162"/>
      <c r="D72" s="209" t="s">
        <v>200</v>
      </c>
      <c r="E72" s="210" t="s">
        <v>234</v>
      </c>
      <c r="F72" s="165">
        <v>2</v>
      </c>
      <c r="G72" s="183">
        <v>35</v>
      </c>
      <c r="H72" s="165"/>
      <c r="I72" s="178"/>
      <c r="J72" s="167"/>
      <c r="K72" s="167"/>
      <c r="L72" s="167"/>
      <c r="M72" s="167"/>
      <c r="N72" s="168"/>
    </row>
    <row r="73" spans="1:14" x14ac:dyDescent="0.3">
      <c r="A73" s="161"/>
      <c r="B73" s="161" t="s">
        <v>157</v>
      </c>
      <c r="C73" s="162"/>
      <c r="D73" s="209" t="s">
        <v>188</v>
      </c>
      <c r="E73" s="210" t="s">
        <v>415</v>
      </c>
      <c r="F73" s="165">
        <v>1</v>
      </c>
      <c r="G73" s="183"/>
      <c r="H73" s="165">
        <v>8</v>
      </c>
      <c r="I73" s="178"/>
      <c r="J73" s="167"/>
      <c r="K73" s="167"/>
      <c r="L73" s="167"/>
      <c r="M73" s="167"/>
      <c r="N73" s="168"/>
    </row>
    <row r="74" spans="1:14" x14ac:dyDescent="0.3">
      <c r="A74" s="161" t="s">
        <v>157</v>
      </c>
      <c r="B74" s="161" t="s">
        <v>157</v>
      </c>
      <c r="C74" s="162"/>
      <c r="D74" s="209" t="s">
        <v>281</v>
      </c>
      <c r="E74" s="210" t="s">
        <v>499</v>
      </c>
      <c r="F74" s="165">
        <v>1</v>
      </c>
      <c r="G74" s="183"/>
      <c r="H74" s="165"/>
      <c r="I74" s="178"/>
      <c r="J74" s="167" t="s">
        <v>416</v>
      </c>
      <c r="K74" s="167"/>
      <c r="L74" s="167"/>
      <c r="M74" s="167"/>
      <c r="N74" s="168"/>
    </row>
    <row r="75" spans="1:14" x14ac:dyDescent="0.3">
      <c r="A75" s="161" t="s">
        <v>157</v>
      </c>
      <c r="B75" s="161" t="s">
        <v>157</v>
      </c>
      <c r="C75" s="162"/>
      <c r="D75" s="209" t="s">
        <v>236</v>
      </c>
      <c r="E75" s="210" t="s">
        <v>247</v>
      </c>
      <c r="F75" s="165">
        <v>1</v>
      </c>
      <c r="G75" s="183">
        <v>89</v>
      </c>
      <c r="H75" s="165">
        <v>6.7</v>
      </c>
      <c r="I75" s="178"/>
      <c r="J75" s="167"/>
      <c r="K75" s="167"/>
      <c r="L75" s="167"/>
      <c r="M75" s="167"/>
      <c r="N75" s="168"/>
    </row>
    <row r="76" spans="1:14" x14ac:dyDescent="0.3">
      <c r="A76" s="161"/>
      <c r="B76" s="161" t="s">
        <v>157</v>
      </c>
      <c r="C76" s="162"/>
      <c r="D76" s="209" t="s">
        <v>241</v>
      </c>
      <c r="E76" s="165" t="s">
        <v>280</v>
      </c>
      <c r="F76" s="165">
        <v>1</v>
      </c>
      <c r="G76" s="183">
        <v>140</v>
      </c>
      <c r="H76" s="165">
        <v>19.5</v>
      </c>
      <c r="I76" s="178"/>
      <c r="J76" s="167" t="s">
        <v>504</v>
      </c>
      <c r="K76" s="167"/>
      <c r="L76" s="167"/>
      <c r="M76" s="167"/>
      <c r="N76" s="168"/>
    </row>
    <row r="77" spans="1:14" x14ac:dyDescent="0.3">
      <c r="A77" s="161"/>
      <c r="B77" s="161" t="s">
        <v>157</v>
      </c>
      <c r="C77" s="162"/>
      <c r="D77" s="209" t="s">
        <v>192</v>
      </c>
      <c r="E77" s="210" t="s">
        <v>248</v>
      </c>
      <c r="F77" s="182">
        <v>1</v>
      </c>
      <c r="G77" s="211">
        <v>66.75</v>
      </c>
      <c r="H77" s="182">
        <v>9.3000000000000007</v>
      </c>
      <c r="I77" s="178"/>
      <c r="J77" s="167"/>
      <c r="K77" s="167"/>
      <c r="L77" s="167"/>
      <c r="M77" s="167"/>
      <c r="N77" s="168"/>
    </row>
    <row r="78" spans="1:14" x14ac:dyDescent="0.3">
      <c r="A78" s="161"/>
      <c r="B78" s="161" t="s">
        <v>157</v>
      </c>
      <c r="C78" s="162"/>
      <c r="D78" s="209" t="s">
        <v>193</v>
      </c>
      <c r="E78" s="210" t="s">
        <v>482</v>
      </c>
      <c r="F78" s="165">
        <v>1</v>
      </c>
      <c r="G78" s="183">
        <v>0</v>
      </c>
      <c r="H78" s="165">
        <v>10.8</v>
      </c>
      <c r="I78" s="178"/>
      <c r="J78" s="167"/>
      <c r="K78" s="167"/>
      <c r="L78" s="167"/>
      <c r="M78" s="167"/>
      <c r="N78" s="168"/>
    </row>
    <row r="79" spans="1:14" x14ac:dyDescent="0.3">
      <c r="A79" s="161"/>
      <c r="B79" s="161" t="s">
        <v>157</v>
      </c>
      <c r="C79" s="162"/>
      <c r="D79" s="209" t="s">
        <v>233</v>
      </c>
      <c r="E79" s="210" t="s">
        <v>232</v>
      </c>
      <c r="F79" s="165">
        <v>1</v>
      </c>
      <c r="G79" s="183">
        <v>175</v>
      </c>
      <c r="H79" s="165">
        <v>18</v>
      </c>
      <c r="I79" s="178"/>
      <c r="J79" s="167"/>
      <c r="K79" s="167"/>
      <c r="L79" s="167"/>
      <c r="M79" s="167"/>
      <c r="N79" s="168"/>
    </row>
    <row r="80" spans="1:14" x14ac:dyDescent="0.3">
      <c r="A80" s="161" t="s">
        <v>157</v>
      </c>
      <c r="B80" s="161" t="s">
        <v>157</v>
      </c>
      <c r="C80" s="162"/>
      <c r="D80" s="209" t="s">
        <v>194</v>
      </c>
      <c r="E80" s="165" t="s">
        <v>149</v>
      </c>
      <c r="F80" s="165">
        <v>1</v>
      </c>
      <c r="G80" s="183">
        <v>120</v>
      </c>
      <c r="H80" s="165">
        <v>18</v>
      </c>
      <c r="I80" s="165"/>
      <c r="J80" s="167"/>
      <c r="K80" s="167"/>
      <c r="L80" s="167"/>
      <c r="M80" s="167"/>
      <c r="N80" s="168"/>
    </row>
    <row r="81" spans="1:20" x14ac:dyDescent="0.3">
      <c r="A81" s="161" t="s">
        <v>157</v>
      </c>
      <c r="B81" s="161" t="s">
        <v>157</v>
      </c>
      <c r="C81" s="162"/>
      <c r="D81" s="209" t="s">
        <v>195</v>
      </c>
      <c r="E81" s="165" t="s">
        <v>152</v>
      </c>
      <c r="F81" s="165">
        <v>1</v>
      </c>
      <c r="G81" s="183">
        <v>215</v>
      </c>
      <c r="H81" s="165">
        <v>17</v>
      </c>
      <c r="I81" s="165"/>
      <c r="J81" s="167"/>
      <c r="K81" s="167"/>
      <c r="L81" s="167"/>
      <c r="M81" s="167"/>
      <c r="N81" s="168"/>
    </row>
    <row r="82" spans="1:20" x14ac:dyDescent="0.3">
      <c r="A82" s="161" t="s">
        <v>157</v>
      </c>
      <c r="B82" s="161" t="s">
        <v>157</v>
      </c>
      <c r="C82" s="162"/>
      <c r="D82" s="209" t="s">
        <v>483</v>
      </c>
      <c r="E82" s="210" t="s">
        <v>238</v>
      </c>
      <c r="F82" s="165">
        <v>1</v>
      </c>
      <c r="G82" s="183">
        <v>59</v>
      </c>
      <c r="H82" s="165">
        <v>2.9</v>
      </c>
      <c r="I82" s="178"/>
      <c r="J82" s="167"/>
      <c r="K82" s="167"/>
      <c r="L82" s="167"/>
      <c r="M82" s="167"/>
      <c r="N82" s="168"/>
    </row>
    <row r="83" spans="1:20" x14ac:dyDescent="0.3">
      <c r="A83" s="161" t="s">
        <v>157</v>
      </c>
      <c r="B83" s="161" t="s">
        <v>157</v>
      </c>
      <c r="C83" s="162"/>
      <c r="D83" s="209" t="s">
        <v>212</v>
      </c>
      <c r="E83" s="210" t="s">
        <v>239</v>
      </c>
      <c r="F83" s="165">
        <v>1</v>
      </c>
      <c r="G83" s="183">
        <v>90</v>
      </c>
      <c r="H83" s="165">
        <v>7.2</v>
      </c>
      <c r="I83" s="178"/>
      <c r="J83" s="167"/>
      <c r="K83" s="167"/>
      <c r="L83" s="167"/>
      <c r="M83" s="167"/>
      <c r="N83" s="168"/>
    </row>
    <row r="84" spans="1:20" x14ac:dyDescent="0.3">
      <c r="A84" s="161" t="s">
        <v>157</v>
      </c>
      <c r="B84" s="161" t="s">
        <v>157</v>
      </c>
      <c r="C84" s="162"/>
      <c r="D84" s="209" t="s">
        <v>282</v>
      </c>
      <c r="E84" s="210" t="s">
        <v>283</v>
      </c>
      <c r="F84" s="165"/>
      <c r="G84" s="183"/>
      <c r="H84" s="165"/>
      <c r="I84" s="178"/>
      <c r="J84" s="167"/>
      <c r="K84" s="167"/>
      <c r="L84" s="167"/>
      <c r="M84" s="167"/>
      <c r="N84" s="168"/>
    </row>
    <row r="85" spans="1:20" x14ac:dyDescent="0.3">
      <c r="A85" s="161" t="s">
        <v>157</v>
      </c>
      <c r="B85" s="161" t="s">
        <v>157</v>
      </c>
      <c r="C85" s="162"/>
      <c r="D85" s="209" t="s">
        <v>196</v>
      </c>
      <c r="E85" s="210" t="s">
        <v>252</v>
      </c>
      <c r="F85" s="165">
        <v>1</v>
      </c>
      <c r="G85" s="183">
        <v>79</v>
      </c>
      <c r="H85" s="165">
        <v>3.5</v>
      </c>
      <c r="I85" s="178"/>
      <c r="J85" s="167"/>
      <c r="K85" s="167"/>
      <c r="L85" s="167"/>
      <c r="M85" s="167"/>
      <c r="N85" s="168"/>
    </row>
    <row r="86" spans="1:20" ht="15" thickBot="1" x14ac:dyDescent="0.35">
      <c r="A86" s="161" t="s">
        <v>157</v>
      </c>
      <c r="B86" s="161" t="s">
        <v>157</v>
      </c>
      <c r="C86" s="170"/>
      <c r="D86" s="212" t="s">
        <v>199</v>
      </c>
      <c r="E86" s="213"/>
      <c r="F86" s="189">
        <v>1</v>
      </c>
      <c r="G86" s="190">
        <v>22.5</v>
      </c>
      <c r="H86" s="189">
        <v>6</v>
      </c>
      <c r="I86" s="214"/>
      <c r="J86" s="167"/>
      <c r="K86" s="167"/>
      <c r="L86" s="167"/>
      <c r="M86" s="167"/>
      <c r="N86" s="168"/>
    </row>
    <row r="87" spans="1:20" x14ac:dyDescent="0.3">
      <c r="A87" s="161"/>
      <c r="B87" s="161"/>
      <c r="C87" s="192"/>
      <c r="D87" s="193" t="s">
        <v>185</v>
      </c>
      <c r="E87" s="220"/>
      <c r="F87" s="194"/>
      <c r="G87" s="195"/>
      <c r="H87" s="194"/>
      <c r="I87" s="221"/>
      <c r="J87" s="167"/>
      <c r="K87" s="167"/>
      <c r="L87" s="167"/>
      <c r="M87" s="167"/>
      <c r="N87" s="168"/>
    </row>
    <row r="88" spans="1:20" x14ac:dyDescent="0.3">
      <c r="A88" s="161"/>
      <c r="B88" s="161" t="s">
        <v>157</v>
      </c>
      <c r="C88" s="162"/>
      <c r="D88" s="169" t="s">
        <v>162</v>
      </c>
      <c r="E88" s="165" t="s">
        <v>278</v>
      </c>
      <c r="F88" s="165"/>
      <c r="G88" s="183">
        <v>80</v>
      </c>
      <c r="H88" s="165">
        <v>10</v>
      </c>
      <c r="I88" s="175">
        <f>H88/16</f>
        <v>0.625</v>
      </c>
      <c r="J88" s="167" t="s">
        <v>410</v>
      </c>
      <c r="K88" s="167"/>
      <c r="L88" s="167"/>
      <c r="M88" s="167"/>
      <c r="N88" s="168"/>
    </row>
    <row r="89" spans="1:20" x14ac:dyDescent="0.3">
      <c r="A89" s="161"/>
      <c r="B89" s="161" t="s">
        <v>157</v>
      </c>
      <c r="C89" s="162"/>
      <c r="D89" s="169" t="s">
        <v>641</v>
      </c>
      <c r="E89" s="165"/>
      <c r="F89" s="165"/>
      <c r="G89" s="165"/>
      <c r="H89" s="165"/>
      <c r="I89" s="165"/>
      <c r="J89" s="167"/>
      <c r="K89" s="167"/>
      <c r="L89" s="167"/>
      <c r="M89" s="167"/>
      <c r="N89" s="168"/>
    </row>
    <row r="90" spans="1:20" ht="15" thickBot="1" x14ac:dyDescent="0.35">
      <c r="A90" s="161"/>
      <c r="B90" s="161" t="s">
        <v>157</v>
      </c>
      <c r="C90" s="162"/>
      <c r="D90" s="169" t="s">
        <v>137</v>
      </c>
      <c r="E90" s="165"/>
      <c r="F90" s="165"/>
      <c r="G90" s="165"/>
      <c r="H90" s="165"/>
      <c r="I90" s="165"/>
      <c r="J90" s="167"/>
      <c r="K90" s="167"/>
      <c r="L90" s="167"/>
      <c r="M90" s="167"/>
      <c r="N90" s="168"/>
    </row>
    <row r="91" spans="1:20" x14ac:dyDescent="0.3">
      <c r="A91" s="161"/>
      <c r="B91" s="161"/>
      <c r="C91" s="162"/>
      <c r="D91" s="193" t="s">
        <v>567</v>
      </c>
      <c r="E91" s="165"/>
      <c r="F91" s="165"/>
      <c r="G91" s="183"/>
      <c r="H91" s="165"/>
      <c r="I91" s="175"/>
      <c r="J91" s="167"/>
      <c r="K91" s="167"/>
      <c r="L91" s="167"/>
      <c r="M91" s="167"/>
      <c r="N91" s="168"/>
    </row>
    <row r="92" spans="1:20" ht="15" thickBot="1" x14ac:dyDescent="0.35">
      <c r="A92" s="161"/>
      <c r="B92" s="161"/>
      <c r="C92" s="162"/>
      <c r="D92" s="222" t="s">
        <v>571</v>
      </c>
      <c r="E92" s="165"/>
      <c r="F92" s="165"/>
      <c r="G92" s="165"/>
      <c r="H92" s="165"/>
      <c r="I92" s="165"/>
      <c r="J92" s="167"/>
      <c r="K92" s="167"/>
      <c r="L92" s="167"/>
      <c r="M92" s="167"/>
      <c r="N92" s="168"/>
    </row>
    <row r="93" spans="1:20" ht="43.2" x14ac:dyDescent="0.3">
      <c r="A93" s="231"/>
      <c r="B93" s="231"/>
      <c r="C93" s="232"/>
      <c r="D93" s="233" t="s">
        <v>102</v>
      </c>
      <c r="E93" s="234"/>
      <c r="F93" s="235" t="s">
        <v>509</v>
      </c>
      <c r="G93" s="236"/>
      <c r="H93" s="235" t="s">
        <v>508</v>
      </c>
      <c r="I93" s="236" t="s">
        <v>513</v>
      </c>
      <c r="J93" s="236" t="s">
        <v>522</v>
      </c>
      <c r="K93" s="235" t="s">
        <v>510</v>
      </c>
      <c r="L93" s="236" t="s">
        <v>511</v>
      </c>
      <c r="M93" s="235" t="s">
        <v>512</v>
      </c>
      <c r="N93" s="237" t="s">
        <v>201</v>
      </c>
      <c r="O93" s="238" t="s">
        <v>514</v>
      </c>
      <c r="P93" s="235" t="s">
        <v>515</v>
      </c>
      <c r="Q93" s="235" t="s">
        <v>516</v>
      </c>
      <c r="R93" s="239" t="s">
        <v>517</v>
      </c>
      <c r="S93" s="239" t="s">
        <v>526</v>
      </c>
      <c r="T93" s="239" t="s">
        <v>527</v>
      </c>
    </row>
    <row r="94" spans="1:20" x14ac:dyDescent="0.3">
      <c r="A94" s="240"/>
      <c r="B94" s="240"/>
      <c r="C94" s="225" t="s">
        <v>157</v>
      </c>
      <c r="D94" s="169" t="s">
        <v>506</v>
      </c>
      <c r="E94" s="165" t="s">
        <v>507</v>
      </c>
      <c r="F94" s="241">
        <v>2</v>
      </c>
      <c r="G94" s="242"/>
      <c r="H94" s="241">
        <v>490</v>
      </c>
      <c r="I94" s="243">
        <f>6.35/2</f>
        <v>3.1749999999999998</v>
      </c>
      <c r="J94" s="244">
        <f t="shared" ref="J94:J102" si="1">H94/I94</f>
        <v>154.33070866141733</v>
      </c>
      <c r="K94" s="241">
        <v>29</v>
      </c>
      <c r="L94" s="243">
        <v>29</v>
      </c>
      <c r="M94" s="241">
        <v>25</v>
      </c>
      <c r="N94" s="241">
        <v>6</v>
      </c>
      <c r="O94" s="264">
        <f t="shared" ref="O94:O111" si="2">N94*(F94*H94)</f>
        <v>5880</v>
      </c>
      <c r="P94" s="245">
        <f>K94*$F94*$N94</f>
        <v>348</v>
      </c>
      <c r="Q94" s="245">
        <f>L94*$F94*$N94</f>
        <v>348</v>
      </c>
      <c r="R94" s="246">
        <f>M94*$F94*$N94</f>
        <v>300</v>
      </c>
      <c r="S94" s="246">
        <f>N94*F94*I94</f>
        <v>38.099999999999994</v>
      </c>
      <c r="T94" s="247">
        <f>S94/16</f>
        <v>2.3812499999999996</v>
      </c>
    </row>
    <row r="95" spans="1:20" x14ac:dyDescent="0.3">
      <c r="A95" s="240"/>
      <c r="B95" s="240"/>
      <c r="C95" s="225" t="s">
        <v>157</v>
      </c>
      <c r="D95" s="169" t="s">
        <v>519</v>
      </c>
      <c r="E95" s="165" t="s">
        <v>577</v>
      </c>
      <c r="F95" s="241">
        <v>2</v>
      </c>
      <c r="G95" s="242"/>
      <c r="H95" s="241">
        <v>370</v>
      </c>
      <c r="I95" s="243">
        <f>6.06/2</f>
        <v>3.03</v>
      </c>
      <c r="J95" s="244">
        <f t="shared" si="1"/>
        <v>122.11221122112212</v>
      </c>
      <c r="K95" s="241">
        <v>6</v>
      </c>
      <c r="L95" s="243">
        <v>59</v>
      </c>
      <c r="M95" s="241">
        <v>20</v>
      </c>
      <c r="N95" s="241">
        <v>7</v>
      </c>
      <c r="O95" s="264">
        <f t="shared" si="2"/>
        <v>5180</v>
      </c>
      <c r="P95" s="245">
        <f t="shared" ref="P95:R111" si="3">K95*$F95*$N95</f>
        <v>84</v>
      </c>
      <c r="Q95" s="245">
        <f t="shared" si="3"/>
        <v>826</v>
      </c>
      <c r="R95" s="246">
        <f t="shared" si="3"/>
        <v>280</v>
      </c>
      <c r="S95" s="246">
        <f t="shared" ref="S95:S111" si="4">N95*F95*I95</f>
        <v>42.419999999999995</v>
      </c>
      <c r="T95" s="247">
        <f t="shared" ref="T95:T111" si="5">S95/16</f>
        <v>2.6512499999999997</v>
      </c>
    </row>
    <row r="96" spans="1:20" x14ac:dyDescent="0.3">
      <c r="A96" s="240"/>
      <c r="B96" s="240"/>
      <c r="C96" s="225" t="s">
        <v>157</v>
      </c>
      <c r="D96" s="169" t="s">
        <v>520</v>
      </c>
      <c r="E96" s="165" t="s">
        <v>529</v>
      </c>
      <c r="F96" s="241">
        <v>2</v>
      </c>
      <c r="G96" s="242"/>
      <c r="H96" s="241">
        <v>430</v>
      </c>
      <c r="I96" s="243">
        <f>4.97/2</f>
        <v>2.4849999999999999</v>
      </c>
      <c r="J96" s="244">
        <f t="shared" si="1"/>
        <v>173.03822937625756</v>
      </c>
      <c r="K96" s="241">
        <v>24</v>
      </c>
      <c r="L96" s="243">
        <v>27</v>
      </c>
      <c r="M96" s="241">
        <v>26</v>
      </c>
      <c r="N96" s="241">
        <v>6</v>
      </c>
      <c r="O96" s="264">
        <f t="shared" si="2"/>
        <v>5160</v>
      </c>
      <c r="P96" s="245">
        <f t="shared" si="3"/>
        <v>288</v>
      </c>
      <c r="Q96" s="245">
        <f t="shared" si="3"/>
        <v>324</v>
      </c>
      <c r="R96" s="246">
        <f t="shared" si="3"/>
        <v>312</v>
      </c>
      <c r="S96" s="246">
        <f t="shared" si="4"/>
        <v>29.82</v>
      </c>
      <c r="T96" s="247">
        <f t="shared" si="5"/>
        <v>1.86375</v>
      </c>
    </row>
    <row r="97" spans="1:20" x14ac:dyDescent="0.3">
      <c r="A97" s="240"/>
      <c r="B97" s="240"/>
      <c r="C97" s="225" t="s">
        <v>157</v>
      </c>
      <c r="D97" s="169" t="s">
        <v>528</v>
      </c>
      <c r="E97" s="165" t="s">
        <v>530</v>
      </c>
      <c r="F97" s="241">
        <v>2</v>
      </c>
      <c r="G97" s="242"/>
      <c r="H97" s="241">
        <v>460</v>
      </c>
      <c r="I97" s="243">
        <f>5.71/2</f>
        <v>2.855</v>
      </c>
      <c r="J97" s="244">
        <f t="shared" si="1"/>
        <v>161.12084063047286</v>
      </c>
      <c r="K97" s="241">
        <v>32</v>
      </c>
      <c r="L97" s="243">
        <v>21</v>
      </c>
      <c r="M97" s="241">
        <v>22</v>
      </c>
      <c r="N97" s="241">
        <v>6</v>
      </c>
      <c r="O97" s="264">
        <f t="shared" si="2"/>
        <v>5520</v>
      </c>
      <c r="P97" s="245">
        <f t="shared" si="3"/>
        <v>384</v>
      </c>
      <c r="Q97" s="245">
        <f t="shared" si="3"/>
        <v>252</v>
      </c>
      <c r="R97" s="246">
        <f t="shared" si="3"/>
        <v>264</v>
      </c>
      <c r="S97" s="246">
        <f t="shared" si="4"/>
        <v>34.26</v>
      </c>
      <c r="T97" s="247">
        <f t="shared" si="5"/>
        <v>2.1412499999999999</v>
      </c>
    </row>
    <row r="98" spans="1:20" x14ac:dyDescent="0.3">
      <c r="A98" s="240"/>
      <c r="B98" s="240"/>
      <c r="C98" s="225" t="s">
        <v>157</v>
      </c>
      <c r="D98" s="169" t="s">
        <v>578</v>
      </c>
      <c r="E98" s="165" t="s">
        <v>579</v>
      </c>
      <c r="F98" s="241">
        <v>2</v>
      </c>
      <c r="G98" s="242"/>
      <c r="H98" s="241">
        <v>280</v>
      </c>
      <c r="I98" s="243">
        <f>4.2/2</f>
        <v>2.1</v>
      </c>
      <c r="J98" s="244">
        <f t="shared" si="1"/>
        <v>133.33333333333331</v>
      </c>
      <c r="K98" s="241">
        <v>10</v>
      </c>
      <c r="L98" s="243">
        <v>30</v>
      </c>
      <c r="M98" s="241">
        <v>18</v>
      </c>
      <c r="N98" s="241">
        <v>9</v>
      </c>
      <c r="O98" s="264">
        <f t="shared" si="2"/>
        <v>5040</v>
      </c>
      <c r="P98" s="245">
        <f t="shared" si="3"/>
        <v>180</v>
      </c>
      <c r="Q98" s="245">
        <f t="shared" si="3"/>
        <v>540</v>
      </c>
      <c r="R98" s="246">
        <f t="shared" si="3"/>
        <v>324</v>
      </c>
      <c r="S98" s="246">
        <f t="shared" si="4"/>
        <v>37.800000000000004</v>
      </c>
      <c r="T98" s="247">
        <f t="shared" si="5"/>
        <v>2.3625000000000003</v>
      </c>
    </row>
    <row r="99" spans="1:20" x14ac:dyDescent="0.3">
      <c r="A99" s="240"/>
      <c r="B99" s="240"/>
      <c r="C99" s="225" t="s">
        <v>157</v>
      </c>
      <c r="D99" s="169" t="s">
        <v>521</v>
      </c>
      <c r="E99" s="165" t="s">
        <v>523</v>
      </c>
      <c r="F99" s="241">
        <v>2</v>
      </c>
      <c r="G99" s="242"/>
      <c r="H99" s="241">
        <v>260</v>
      </c>
      <c r="I99" s="243">
        <f>3.7/2</f>
        <v>1.85</v>
      </c>
      <c r="J99" s="244">
        <f t="shared" si="1"/>
        <v>140.54054054054055</v>
      </c>
      <c r="K99" s="241">
        <v>12</v>
      </c>
      <c r="L99" s="243">
        <v>23</v>
      </c>
      <c r="M99" s="241">
        <v>14</v>
      </c>
      <c r="N99" s="241">
        <v>11</v>
      </c>
      <c r="O99" s="264">
        <f t="shared" si="2"/>
        <v>5720</v>
      </c>
      <c r="P99" s="245">
        <f t="shared" si="3"/>
        <v>264</v>
      </c>
      <c r="Q99" s="245">
        <f t="shared" si="3"/>
        <v>506</v>
      </c>
      <c r="R99" s="246">
        <f t="shared" si="3"/>
        <v>308</v>
      </c>
      <c r="S99" s="246">
        <f t="shared" si="4"/>
        <v>40.700000000000003</v>
      </c>
      <c r="T99" s="247">
        <f t="shared" si="5"/>
        <v>2.5437500000000002</v>
      </c>
    </row>
    <row r="100" spans="1:20" x14ac:dyDescent="0.3">
      <c r="A100" s="240"/>
      <c r="B100" s="240"/>
      <c r="C100" s="225" t="s">
        <v>157</v>
      </c>
      <c r="D100" s="169" t="s">
        <v>524</v>
      </c>
      <c r="E100" s="165" t="s">
        <v>538</v>
      </c>
      <c r="F100" s="241">
        <v>2</v>
      </c>
      <c r="G100" s="242"/>
      <c r="H100" s="241">
        <v>570</v>
      </c>
      <c r="I100" s="243">
        <f>6.77/2</f>
        <v>3.3849999999999998</v>
      </c>
      <c r="J100" s="244">
        <f t="shared" si="1"/>
        <v>168.38995568685377</v>
      </c>
      <c r="K100" s="241">
        <v>45</v>
      </c>
      <c r="L100" s="243">
        <v>27</v>
      </c>
      <c r="M100" s="241">
        <v>18</v>
      </c>
      <c r="N100" s="241">
        <v>11</v>
      </c>
      <c r="O100" s="264">
        <f t="shared" si="2"/>
        <v>12540</v>
      </c>
      <c r="P100" s="245">
        <f t="shared" si="3"/>
        <v>990</v>
      </c>
      <c r="Q100" s="245">
        <f t="shared" si="3"/>
        <v>594</v>
      </c>
      <c r="R100" s="246">
        <f t="shared" si="3"/>
        <v>396</v>
      </c>
      <c r="S100" s="246">
        <f t="shared" si="4"/>
        <v>74.47</v>
      </c>
      <c r="T100" s="247">
        <f t="shared" si="5"/>
        <v>4.6543749999999999</v>
      </c>
    </row>
    <row r="101" spans="1:20" x14ac:dyDescent="0.3">
      <c r="A101" s="240"/>
      <c r="B101" s="240"/>
      <c r="C101" s="225"/>
      <c r="D101" s="169" t="s">
        <v>385</v>
      </c>
      <c r="E101" s="165" t="s">
        <v>531</v>
      </c>
      <c r="F101" s="241">
        <v>7</v>
      </c>
      <c r="G101" s="242"/>
      <c r="H101" s="241">
        <v>200</v>
      </c>
      <c r="I101" s="243">
        <f>9.5/F101</f>
        <v>1.3571428571428572</v>
      </c>
      <c r="J101" s="244">
        <f t="shared" si="1"/>
        <v>147.36842105263156</v>
      </c>
      <c r="K101" s="241">
        <v>10</v>
      </c>
      <c r="L101" s="243">
        <v>26</v>
      </c>
      <c r="M101" s="241">
        <v>1</v>
      </c>
      <c r="N101" s="241">
        <v>4</v>
      </c>
      <c r="O101" s="264">
        <f t="shared" si="2"/>
        <v>5600</v>
      </c>
      <c r="P101" s="245">
        <f t="shared" si="3"/>
        <v>280</v>
      </c>
      <c r="Q101" s="245">
        <f t="shared" si="3"/>
        <v>728</v>
      </c>
      <c r="R101" s="246">
        <f t="shared" si="3"/>
        <v>28</v>
      </c>
      <c r="S101" s="246">
        <f t="shared" si="4"/>
        <v>38</v>
      </c>
      <c r="T101" s="247">
        <f t="shared" si="5"/>
        <v>2.375</v>
      </c>
    </row>
    <row r="102" spans="1:20" x14ac:dyDescent="0.3">
      <c r="A102" s="240"/>
      <c r="B102" s="240"/>
      <c r="C102" s="225"/>
      <c r="D102" s="169" t="s">
        <v>535</v>
      </c>
      <c r="E102" s="165" t="s">
        <v>531</v>
      </c>
      <c r="F102" s="241">
        <v>17</v>
      </c>
      <c r="G102" s="242"/>
      <c r="H102" s="241">
        <v>150</v>
      </c>
      <c r="I102" s="243">
        <f>18/F102</f>
        <v>1.0588235294117647</v>
      </c>
      <c r="J102" s="244">
        <f t="shared" si="1"/>
        <v>141.66666666666666</v>
      </c>
      <c r="K102" s="241">
        <v>8</v>
      </c>
      <c r="L102" s="243">
        <v>20</v>
      </c>
      <c r="M102" s="241">
        <v>1</v>
      </c>
      <c r="N102" s="241"/>
      <c r="O102" s="264">
        <f t="shared" si="2"/>
        <v>0</v>
      </c>
      <c r="P102" s="245">
        <f t="shared" si="3"/>
        <v>0</v>
      </c>
      <c r="Q102" s="245">
        <f t="shared" si="3"/>
        <v>0</v>
      </c>
      <c r="R102" s="246">
        <f t="shared" si="3"/>
        <v>0</v>
      </c>
      <c r="S102" s="246">
        <f t="shared" si="4"/>
        <v>0</v>
      </c>
      <c r="T102" s="247">
        <f t="shared" si="5"/>
        <v>0</v>
      </c>
    </row>
    <row r="103" spans="1:20" x14ac:dyDescent="0.3">
      <c r="A103" s="240"/>
      <c r="B103" s="240"/>
      <c r="C103" s="225"/>
      <c r="D103" s="169" t="s">
        <v>386</v>
      </c>
      <c r="E103" s="165"/>
      <c r="F103" s="241"/>
      <c r="G103" s="242"/>
      <c r="H103" s="241"/>
      <c r="I103" s="241"/>
      <c r="J103" s="244"/>
      <c r="K103" s="241"/>
      <c r="L103" s="243"/>
      <c r="M103" s="241"/>
      <c r="N103" s="241"/>
      <c r="O103" s="264">
        <f t="shared" si="2"/>
        <v>0</v>
      </c>
      <c r="P103" s="245">
        <f t="shared" si="3"/>
        <v>0</v>
      </c>
      <c r="Q103" s="245">
        <f t="shared" si="3"/>
        <v>0</v>
      </c>
      <c r="R103" s="246">
        <f t="shared" si="3"/>
        <v>0</v>
      </c>
      <c r="S103" s="246">
        <f t="shared" si="4"/>
        <v>0</v>
      </c>
      <c r="T103" s="247">
        <f t="shared" si="5"/>
        <v>0</v>
      </c>
    </row>
    <row r="104" spans="1:20" x14ac:dyDescent="0.3">
      <c r="A104" s="240"/>
      <c r="B104" s="240"/>
      <c r="C104" s="225"/>
      <c r="D104" s="169" t="s">
        <v>387</v>
      </c>
      <c r="E104" s="165"/>
      <c r="F104" s="241">
        <v>1</v>
      </c>
      <c r="G104" s="242"/>
      <c r="H104" s="244">
        <f>120/0.493835</f>
        <v>242.99614243623881</v>
      </c>
      <c r="I104" s="241">
        <v>1</v>
      </c>
      <c r="J104" s="244">
        <f>H104/I104</f>
        <v>242.99614243623881</v>
      </c>
      <c r="K104" s="244">
        <f>14/0.493835</f>
        <v>28.349549950894527</v>
      </c>
      <c r="L104" s="243">
        <v>0</v>
      </c>
      <c r="M104" s="241">
        <v>0</v>
      </c>
      <c r="N104" s="241">
        <v>16</v>
      </c>
      <c r="O104" s="264">
        <f t="shared" si="2"/>
        <v>3887.938278979821</v>
      </c>
      <c r="P104" s="245">
        <f t="shared" si="3"/>
        <v>453.59279921431244</v>
      </c>
      <c r="Q104" s="245">
        <f t="shared" si="3"/>
        <v>0</v>
      </c>
      <c r="R104" s="246">
        <f t="shared" si="3"/>
        <v>0</v>
      </c>
      <c r="S104" s="246">
        <f t="shared" si="4"/>
        <v>16</v>
      </c>
      <c r="T104" s="247">
        <f t="shared" si="5"/>
        <v>1</v>
      </c>
    </row>
    <row r="105" spans="1:20" x14ac:dyDescent="0.3">
      <c r="A105" s="240"/>
      <c r="B105" s="240"/>
      <c r="C105" s="225"/>
      <c r="D105" s="169" t="s">
        <v>388</v>
      </c>
      <c r="E105" s="165" t="s">
        <v>536</v>
      </c>
      <c r="F105" s="241">
        <v>4</v>
      </c>
      <c r="G105" s="242"/>
      <c r="H105" s="241">
        <v>200</v>
      </c>
      <c r="I105" s="248">
        <v>1.3404100000000001</v>
      </c>
      <c r="J105" s="244">
        <f>H105/I105</f>
        <v>149.20807812534969</v>
      </c>
      <c r="K105" s="241">
        <v>17</v>
      </c>
      <c r="L105" s="243">
        <v>17</v>
      </c>
      <c r="M105" s="241">
        <v>2</v>
      </c>
      <c r="N105" s="241">
        <v>3</v>
      </c>
      <c r="O105" s="264">
        <f t="shared" si="2"/>
        <v>2400</v>
      </c>
      <c r="P105" s="245">
        <f t="shared" si="3"/>
        <v>204</v>
      </c>
      <c r="Q105" s="245">
        <f t="shared" si="3"/>
        <v>204</v>
      </c>
      <c r="R105" s="246">
        <f t="shared" si="3"/>
        <v>24</v>
      </c>
      <c r="S105" s="246">
        <f t="shared" si="4"/>
        <v>16.08492</v>
      </c>
      <c r="T105" s="247">
        <f t="shared" si="5"/>
        <v>1.0053075</v>
      </c>
    </row>
    <row r="106" spans="1:20" x14ac:dyDescent="0.3">
      <c r="A106" s="240"/>
      <c r="B106" s="240"/>
      <c r="C106" s="225"/>
      <c r="D106" s="169" t="s">
        <v>388</v>
      </c>
      <c r="E106" s="165"/>
      <c r="F106" s="241">
        <v>8</v>
      </c>
      <c r="G106" s="242"/>
      <c r="H106" s="241">
        <v>120</v>
      </c>
      <c r="I106" s="248">
        <f>7/F106</f>
        <v>0.875</v>
      </c>
      <c r="J106" s="244">
        <f>H106/I106</f>
        <v>137.14285714285714</v>
      </c>
      <c r="K106" s="241">
        <v>7</v>
      </c>
      <c r="L106" s="243">
        <v>15</v>
      </c>
      <c r="M106" s="241">
        <v>2</v>
      </c>
      <c r="N106" s="241"/>
      <c r="O106" s="264">
        <f t="shared" si="2"/>
        <v>0</v>
      </c>
      <c r="P106" s="245">
        <f t="shared" si="3"/>
        <v>0</v>
      </c>
      <c r="Q106" s="245">
        <f t="shared" si="3"/>
        <v>0</v>
      </c>
      <c r="R106" s="246">
        <f t="shared" si="3"/>
        <v>0</v>
      </c>
      <c r="S106" s="246"/>
      <c r="T106" s="247"/>
    </row>
    <row r="107" spans="1:20" x14ac:dyDescent="0.3">
      <c r="A107" s="240"/>
      <c r="B107" s="240"/>
      <c r="C107" s="225"/>
      <c r="D107" s="169" t="s">
        <v>389</v>
      </c>
      <c r="E107" s="165"/>
      <c r="F107" s="241"/>
      <c r="G107" s="242"/>
      <c r="H107" s="241"/>
      <c r="I107" s="241"/>
      <c r="J107" s="241"/>
      <c r="K107" s="241"/>
      <c r="L107" s="243"/>
      <c r="M107" s="241"/>
      <c r="N107" s="241"/>
      <c r="O107" s="264">
        <f t="shared" si="2"/>
        <v>0</v>
      </c>
      <c r="P107" s="245">
        <f t="shared" si="3"/>
        <v>0</v>
      </c>
      <c r="Q107" s="245">
        <f t="shared" si="3"/>
        <v>0</v>
      </c>
      <c r="R107" s="246">
        <f t="shared" si="3"/>
        <v>0</v>
      </c>
      <c r="S107" s="246">
        <f t="shared" si="4"/>
        <v>0</v>
      </c>
      <c r="T107" s="247">
        <f t="shared" si="5"/>
        <v>0</v>
      </c>
    </row>
    <row r="108" spans="1:20" x14ac:dyDescent="0.3">
      <c r="A108" s="249"/>
      <c r="B108" s="249">
        <v>125</v>
      </c>
      <c r="C108" s="250"/>
      <c r="D108" s="169" t="s">
        <v>390</v>
      </c>
      <c r="E108" s="165"/>
      <c r="F108" s="241"/>
      <c r="G108" s="242"/>
      <c r="H108" s="241"/>
      <c r="I108" s="241"/>
      <c r="J108" s="241"/>
      <c r="K108" s="241"/>
      <c r="L108" s="243"/>
      <c r="M108" s="241"/>
      <c r="N108" s="241"/>
      <c r="O108" s="264">
        <f t="shared" si="2"/>
        <v>0</v>
      </c>
      <c r="P108" s="245">
        <f t="shared" si="3"/>
        <v>0</v>
      </c>
      <c r="Q108" s="245">
        <f t="shared" si="3"/>
        <v>0</v>
      </c>
      <c r="R108" s="246">
        <f t="shared" si="3"/>
        <v>0</v>
      </c>
      <c r="S108" s="246">
        <f t="shared" si="4"/>
        <v>0</v>
      </c>
      <c r="T108" s="247">
        <f t="shared" si="5"/>
        <v>0</v>
      </c>
    </row>
    <row r="109" spans="1:20" x14ac:dyDescent="0.3">
      <c r="A109" s="240"/>
      <c r="B109" s="240"/>
      <c r="C109" s="225"/>
      <c r="D109" s="169" t="s">
        <v>391</v>
      </c>
      <c r="E109" s="165"/>
      <c r="F109" s="241">
        <v>1</v>
      </c>
      <c r="G109" s="242"/>
      <c r="H109" s="241">
        <v>150</v>
      </c>
      <c r="I109" s="241">
        <v>1</v>
      </c>
      <c r="J109" s="241">
        <v>150</v>
      </c>
      <c r="K109" s="241">
        <v>8</v>
      </c>
      <c r="L109" s="243">
        <v>16</v>
      </c>
      <c r="M109" s="241">
        <v>3</v>
      </c>
      <c r="N109" s="241">
        <v>34</v>
      </c>
      <c r="O109" s="264">
        <f t="shared" si="2"/>
        <v>5100</v>
      </c>
      <c r="P109" s="245">
        <f t="shared" si="3"/>
        <v>272</v>
      </c>
      <c r="Q109" s="245">
        <f t="shared" si="3"/>
        <v>544</v>
      </c>
      <c r="R109" s="246">
        <f t="shared" si="3"/>
        <v>102</v>
      </c>
      <c r="S109" s="246">
        <f t="shared" si="4"/>
        <v>34</v>
      </c>
      <c r="T109" s="247">
        <f t="shared" si="5"/>
        <v>2.125</v>
      </c>
    </row>
    <row r="110" spans="1:20" x14ac:dyDescent="0.3">
      <c r="A110" s="249"/>
      <c r="B110" s="249"/>
      <c r="C110" s="250"/>
      <c r="D110" s="169" t="s">
        <v>532</v>
      </c>
      <c r="E110" s="165" t="s">
        <v>533</v>
      </c>
      <c r="F110" s="241">
        <v>13.75</v>
      </c>
      <c r="G110" s="242"/>
      <c r="H110" s="241">
        <v>190</v>
      </c>
      <c r="I110" s="248">
        <f>16/F110</f>
        <v>1.1636363636363636</v>
      </c>
      <c r="J110" s="244">
        <f>H110/I110</f>
        <v>163.28125</v>
      </c>
      <c r="K110" s="241">
        <v>16</v>
      </c>
      <c r="L110" s="243">
        <v>8</v>
      </c>
      <c r="M110" s="241">
        <v>7</v>
      </c>
      <c r="N110" s="241">
        <v>2</v>
      </c>
      <c r="O110" s="264">
        <f>N110*(F110*H110)</f>
        <v>5225</v>
      </c>
      <c r="P110" s="245">
        <f t="shared" si="3"/>
        <v>440</v>
      </c>
      <c r="Q110" s="245">
        <f>L110*$F110*$N110</f>
        <v>220</v>
      </c>
      <c r="R110" s="246">
        <f>M110*$F110*$N110</f>
        <v>192.5</v>
      </c>
      <c r="S110" s="246">
        <f>N110*F110*I110</f>
        <v>32</v>
      </c>
      <c r="T110" s="247">
        <f>S110/16</f>
        <v>2</v>
      </c>
    </row>
    <row r="111" spans="1:20" x14ac:dyDescent="0.3">
      <c r="A111" s="251"/>
      <c r="B111" s="251"/>
      <c r="C111" s="252"/>
      <c r="D111" s="169" t="s">
        <v>392</v>
      </c>
      <c r="E111" s="165" t="s">
        <v>534</v>
      </c>
      <c r="F111" s="241">
        <v>1</v>
      </c>
      <c r="G111" s="242"/>
      <c r="H111" s="241">
        <v>90</v>
      </c>
      <c r="I111" s="241">
        <v>1</v>
      </c>
      <c r="J111" s="241">
        <v>90</v>
      </c>
      <c r="K111" s="241">
        <v>2</v>
      </c>
      <c r="L111" s="243">
        <v>16</v>
      </c>
      <c r="M111" s="241">
        <v>16</v>
      </c>
      <c r="N111" s="241">
        <v>42</v>
      </c>
      <c r="O111" s="264">
        <f t="shared" si="2"/>
        <v>3780</v>
      </c>
      <c r="P111" s="245">
        <f t="shared" si="3"/>
        <v>84</v>
      </c>
      <c r="Q111" s="245">
        <f>L111*$F111*$N111</f>
        <v>672</v>
      </c>
      <c r="R111" s="246">
        <f>M111*$F111*$N111</f>
        <v>672</v>
      </c>
      <c r="S111" s="246">
        <f t="shared" si="4"/>
        <v>42</v>
      </c>
      <c r="T111" s="247">
        <f t="shared" si="5"/>
        <v>2.625</v>
      </c>
    </row>
    <row r="112" spans="1:20" x14ac:dyDescent="0.3">
      <c r="A112" s="162"/>
      <c r="B112" s="162"/>
      <c r="C112" s="162"/>
      <c r="D112" s="169" t="s">
        <v>70</v>
      </c>
      <c r="E112" s="165"/>
      <c r="F112" s="241"/>
      <c r="G112" s="242"/>
      <c r="H112" s="241"/>
      <c r="I112" s="241"/>
      <c r="J112" s="241"/>
      <c r="K112" s="241"/>
      <c r="L112" s="243"/>
      <c r="M112" s="241"/>
      <c r="N112" s="241"/>
      <c r="O112" s="264">
        <f t="shared" ref="O112:T112" si="6">SUM(O94:O111)</f>
        <v>71032.938278979826</v>
      </c>
      <c r="P112" s="245">
        <f t="shared" si="6"/>
        <v>4271.5927992143124</v>
      </c>
      <c r="Q112" s="245">
        <f t="shared" si="6"/>
        <v>5758</v>
      </c>
      <c r="R112" s="245">
        <f t="shared" si="6"/>
        <v>3202.5</v>
      </c>
      <c r="S112" s="245">
        <f t="shared" si="6"/>
        <v>475.65491999999995</v>
      </c>
      <c r="T112" s="253">
        <f t="shared" si="6"/>
        <v>29.728432499999997</v>
      </c>
    </row>
    <row r="113" spans="1:19" ht="15" thickBot="1" x14ac:dyDescent="0.35">
      <c r="A113" s="254"/>
      <c r="B113" s="254"/>
      <c r="C113" s="254"/>
      <c r="D113" s="184" t="s">
        <v>525</v>
      </c>
      <c r="E113" s="185"/>
      <c r="F113" s="255"/>
      <c r="G113" s="256"/>
      <c r="H113" s="255"/>
      <c r="I113" s="255"/>
      <c r="J113" s="255"/>
      <c r="K113" s="255"/>
      <c r="L113" s="257"/>
      <c r="M113" s="255"/>
      <c r="N113" s="255">
        <v>14</v>
      </c>
      <c r="O113" s="265">
        <f>N113*5000</f>
        <v>70000</v>
      </c>
      <c r="P113" s="258"/>
      <c r="Q113" s="258"/>
      <c r="R113" s="259"/>
      <c r="S113" s="260"/>
    </row>
    <row r="114" spans="1:19" x14ac:dyDescent="0.3">
      <c r="G114" s="3"/>
    </row>
    <row r="116" spans="1:19" x14ac:dyDescent="0.3">
      <c r="D116" s="169" t="s">
        <v>519</v>
      </c>
      <c r="E116" s="261" t="s">
        <v>518</v>
      </c>
      <c r="F116" s="241">
        <v>2</v>
      </c>
      <c r="G116" s="242"/>
      <c r="H116" s="241">
        <v>370</v>
      </c>
      <c r="I116" s="241">
        <f>5.15/2</f>
        <v>2.5750000000000002</v>
      </c>
      <c r="J116" s="244">
        <f>H116/I116</f>
        <v>143.6893203883495</v>
      </c>
      <c r="K116" s="241">
        <v>19</v>
      </c>
      <c r="L116" s="243">
        <v>30</v>
      </c>
      <c r="M116" s="241">
        <v>20</v>
      </c>
      <c r="N116" s="241">
        <v>0</v>
      </c>
    </row>
  </sheetData>
  <mergeCells count="1">
    <mergeCell ref="D10:D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3"/>
  <sheetViews>
    <sheetView topLeftCell="A13" zoomScale="33" zoomScaleNormal="33" workbookViewId="0">
      <selection activeCell="Q12" sqref="Q12"/>
    </sheetView>
  </sheetViews>
  <sheetFormatPr defaultRowHeight="14.4" x14ac:dyDescent="0.3"/>
  <sheetData>
    <row r="1" spans="1:22" ht="46.2" x14ac:dyDescent="0.85">
      <c r="A1" s="27"/>
      <c r="B1" s="27"/>
      <c r="C1" s="28"/>
      <c r="D1" s="29"/>
      <c r="E1" s="29"/>
      <c r="F1" s="29"/>
      <c r="G1" s="29"/>
      <c r="H1" s="29"/>
      <c r="I1" s="29"/>
      <c r="J1" s="29"/>
      <c r="K1" s="29"/>
      <c r="L1" s="29"/>
      <c r="M1" s="30"/>
      <c r="N1" s="12"/>
      <c r="O1" t="s">
        <v>102</v>
      </c>
    </row>
    <row r="2" spans="1:22" ht="46.2" x14ac:dyDescent="0.85">
      <c r="A2" s="27"/>
      <c r="B2" s="27"/>
      <c r="C2" s="31"/>
      <c r="D2" s="32"/>
      <c r="E2" s="32"/>
      <c r="F2" s="32"/>
      <c r="G2" s="32" t="s">
        <v>108</v>
      </c>
      <c r="H2" s="33"/>
      <c r="I2" s="27" t="s">
        <v>4</v>
      </c>
      <c r="J2" s="32"/>
      <c r="K2" s="32"/>
      <c r="L2" s="33"/>
      <c r="M2" s="34"/>
      <c r="O2" t="s">
        <v>2</v>
      </c>
      <c r="P2" t="s">
        <v>43</v>
      </c>
      <c r="Q2" t="s">
        <v>44</v>
      </c>
    </row>
    <row r="3" spans="1:22" ht="46.2" x14ac:dyDescent="0.85">
      <c r="A3" s="32" t="s">
        <v>428</v>
      </c>
      <c r="B3" s="32" t="s">
        <v>537</v>
      </c>
      <c r="C3" s="31" t="s">
        <v>2</v>
      </c>
      <c r="D3" s="32" t="s">
        <v>202</v>
      </c>
      <c r="E3" s="32" t="s">
        <v>201</v>
      </c>
      <c r="F3" s="27" t="s">
        <v>3</v>
      </c>
      <c r="G3" s="27" t="s">
        <v>43</v>
      </c>
      <c r="H3" s="27" t="s">
        <v>44</v>
      </c>
      <c r="I3" s="27"/>
      <c r="J3" s="27"/>
      <c r="K3" s="27"/>
      <c r="L3" s="27"/>
      <c r="M3" s="34"/>
      <c r="N3" s="89" t="s">
        <v>339</v>
      </c>
      <c r="V3" t="s">
        <v>274</v>
      </c>
    </row>
    <row r="4" spans="1:22" ht="46.2" x14ac:dyDescent="0.85">
      <c r="A4" s="63"/>
      <c r="B4" s="92"/>
      <c r="C4" s="69" t="s">
        <v>168</v>
      </c>
      <c r="D4" s="38"/>
      <c r="E4" s="37"/>
      <c r="F4" s="37"/>
      <c r="G4" s="37"/>
      <c r="H4" s="68"/>
      <c r="I4" s="35"/>
      <c r="J4" s="35"/>
      <c r="K4" s="35"/>
      <c r="L4" s="35"/>
      <c r="M4" s="129"/>
    </row>
    <row r="5" spans="1:22" ht="46.2" x14ac:dyDescent="0.85">
      <c r="A5" s="63"/>
      <c r="B5" s="92"/>
      <c r="C5" s="54" t="s">
        <v>165</v>
      </c>
      <c r="D5" s="37"/>
      <c r="E5" s="37"/>
      <c r="F5" s="37"/>
      <c r="G5" s="37"/>
      <c r="H5" s="68"/>
      <c r="I5" s="35"/>
      <c r="J5" s="35"/>
      <c r="K5" s="35"/>
      <c r="L5" s="35"/>
      <c r="M5" s="129"/>
    </row>
    <row r="6" spans="1:22" ht="46.2" x14ac:dyDescent="0.85">
      <c r="A6" s="63"/>
      <c r="B6" s="92" t="s">
        <v>157</v>
      </c>
      <c r="C6" s="54" t="s">
        <v>164</v>
      </c>
      <c r="D6" s="37"/>
      <c r="E6" s="37"/>
      <c r="F6" s="37"/>
      <c r="G6" s="37"/>
      <c r="H6" s="68"/>
      <c r="I6" s="35"/>
      <c r="J6" s="35"/>
      <c r="K6" s="35"/>
      <c r="L6" s="35"/>
      <c r="M6" s="129"/>
    </row>
    <row r="7" spans="1:22" ht="46.2" x14ac:dyDescent="0.85">
      <c r="A7" s="63"/>
      <c r="B7" s="92" t="s">
        <v>157</v>
      </c>
      <c r="C7" s="54" t="s">
        <v>393</v>
      </c>
      <c r="D7" s="37"/>
      <c r="E7" s="37">
        <v>2</v>
      </c>
      <c r="F7" s="37"/>
      <c r="G7" s="37"/>
      <c r="H7" s="68"/>
      <c r="I7" s="35"/>
      <c r="J7" s="35"/>
      <c r="K7" s="35"/>
      <c r="L7" s="35"/>
      <c r="M7" s="129"/>
    </row>
    <row r="8" spans="1:22" ht="46.2" x14ac:dyDescent="0.85">
      <c r="A8" s="63"/>
      <c r="B8" s="92"/>
      <c r="C8" s="54" t="s">
        <v>394</v>
      </c>
      <c r="D8" s="37"/>
      <c r="E8" s="37"/>
      <c r="F8" s="37"/>
      <c r="G8" s="37"/>
      <c r="H8" s="68"/>
      <c r="I8" s="35"/>
      <c r="J8" s="35"/>
      <c r="K8" s="35"/>
      <c r="L8" s="35"/>
      <c r="M8" s="129"/>
    </row>
    <row r="9" spans="1:22" ht="46.2" x14ac:dyDescent="0.85">
      <c r="A9" s="63"/>
      <c r="B9" s="92"/>
      <c r="C9" s="54" t="s">
        <v>395</v>
      </c>
      <c r="D9" s="37"/>
      <c r="E9" s="37"/>
      <c r="F9" s="37"/>
      <c r="G9" s="37"/>
      <c r="H9" s="68"/>
      <c r="I9" s="35"/>
      <c r="J9" s="35"/>
      <c r="K9" s="35"/>
      <c r="L9" s="35"/>
      <c r="M9" s="129"/>
    </row>
    <row r="10" spans="1:22" ht="46.2" x14ac:dyDescent="0.85">
      <c r="A10" s="63"/>
      <c r="B10" s="92"/>
      <c r="C10" s="54" t="s">
        <v>427</v>
      </c>
      <c r="D10" s="37"/>
      <c r="E10" s="37"/>
      <c r="F10" s="37"/>
      <c r="G10" s="37"/>
      <c r="H10" s="68"/>
      <c r="I10" s="35"/>
      <c r="J10" s="35"/>
      <c r="K10" s="35"/>
      <c r="L10" s="35"/>
      <c r="M10" s="129"/>
    </row>
    <row r="11" spans="1:22" ht="46.2" x14ac:dyDescent="0.85">
      <c r="A11" s="63"/>
      <c r="B11" s="100"/>
      <c r="C11" s="100" t="s">
        <v>500</v>
      </c>
      <c r="D11" s="60"/>
      <c r="E11" s="37"/>
      <c r="F11" s="37"/>
      <c r="G11" s="37"/>
      <c r="H11" s="68"/>
      <c r="I11" s="35"/>
      <c r="J11" s="35"/>
      <c r="K11" s="35"/>
      <c r="L11" s="35"/>
      <c r="M11" s="129"/>
    </row>
    <row r="12" spans="1:22" ht="46.2" x14ac:dyDescent="0.85">
      <c r="A12" s="63" t="s">
        <v>157</v>
      </c>
      <c r="B12" s="100"/>
      <c r="C12" s="100" t="s">
        <v>501</v>
      </c>
      <c r="D12" s="60"/>
      <c r="E12" s="37"/>
      <c r="F12" s="37"/>
      <c r="G12" s="37"/>
      <c r="H12" s="68"/>
      <c r="I12" s="35"/>
      <c r="J12" s="35"/>
      <c r="K12" s="35"/>
      <c r="L12" s="35"/>
      <c r="M12" s="129"/>
    </row>
    <row r="14" spans="1:22" ht="46.2" x14ac:dyDescent="0.85">
      <c r="A14" s="63" t="s">
        <v>157</v>
      </c>
      <c r="B14" s="130"/>
      <c r="C14" s="149" t="s">
        <v>429</v>
      </c>
      <c r="D14" s="54" t="s">
        <v>397</v>
      </c>
      <c r="E14" s="37"/>
      <c r="F14" s="39">
        <f>135*0.88</f>
        <v>118.8</v>
      </c>
      <c r="G14" s="37">
        <v>55</v>
      </c>
      <c r="H14" s="55">
        <f t="shared" ref="H14:H26" si="0">G14/16</f>
        <v>3.4375</v>
      </c>
      <c r="I14" s="35"/>
      <c r="J14" s="35"/>
      <c r="K14" s="35"/>
      <c r="L14" s="35"/>
      <c r="M14" s="129"/>
    </row>
    <row r="15" spans="1:22" ht="46.2" x14ac:dyDescent="0.85">
      <c r="A15" s="63" t="s">
        <v>157</v>
      </c>
      <c r="B15" s="131"/>
      <c r="C15" s="150"/>
      <c r="D15" s="54" t="s">
        <v>396</v>
      </c>
      <c r="E15" s="37"/>
      <c r="F15" s="39">
        <f>199*0.88</f>
        <v>175.12</v>
      </c>
      <c r="G15" s="40">
        <v>48</v>
      </c>
      <c r="H15" s="55">
        <f t="shared" si="0"/>
        <v>3</v>
      </c>
      <c r="I15" s="35"/>
      <c r="J15" s="35"/>
      <c r="K15" s="35"/>
      <c r="L15" s="35"/>
      <c r="M15" s="129"/>
    </row>
    <row r="16" spans="1:22" ht="46.2" x14ac:dyDescent="0.85">
      <c r="A16" s="63" t="s">
        <v>157</v>
      </c>
      <c r="B16" s="131"/>
      <c r="C16" s="150"/>
      <c r="D16" s="54" t="s">
        <v>398</v>
      </c>
      <c r="E16" s="37"/>
      <c r="F16" s="39">
        <f>44*0.88</f>
        <v>38.72</v>
      </c>
      <c r="G16" s="40">
        <f>3.5+2.5</f>
        <v>6</v>
      </c>
      <c r="H16" s="55">
        <f t="shared" si="0"/>
        <v>0.375</v>
      </c>
      <c r="I16" s="35"/>
      <c r="J16" s="35"/>
      <c r="K16" s="35"/>
      <c r="L16" s="35"/>
      <c r="M16" s="129"/>
    </row>
    <row r="17" spans="1:13" ht="46.2" x14ac:dyDescent="0.85">
      <c r="A17" s="63" t="s">
        <v>157</v>
      </c>
      <c r="B17" s="71"/>
      <c r="C17" s="151"/>
      <c r="D17" s="54" t="s">
        <v>399</v>
      </c>
      <c r="E17" s="37">
        <v>2</v>
      </c>
      <c r="F17" s="39">
        <f>19*0.88</f>
        <v>16.72</v>
      </c>
      <c r="G17" s="40">
        <f>2.3*E17</f>
        <v>4.5999999999999996</v>
      </c>
      <c r="H17" s="55">
        <f t="shared" si="0"/>
        <v>0.28749999999999998</v>
      </c>
      <c r="I17" s="35"/>
      <c r="J17" s="35"/>
      <c r="K17" s="35"/>
      <c r="L17" s="35"/>
      <c r="M17" s="129"/>
    </row>
    <row r="18" spans="1:13" ht="46.2" x14ac:dyDescent="0.85">
      <c r="A18" s="63"/>
      <c r="B18" s="141" t="s">
        <v>157</v>
      </c>
      <c r="C18" s="54"/>
      <c r="D18" s="37" t="s">
        <v>430</v>
      </c>
      <c r="E18" s="37"/>
      <c r="F18" s="39"/>
      <c r="G18" s="40"/>
      <c r="H18" s="55"/>
      <c r="I18" s="35" t="s">
        <v>431</v>
      </c>
      <c r="J18" s="35"/>
      <c r="K18" s="35"/>
      <c r="L18" s="35"/>
      <c r="M18" s="129"/>
    </row>
    <row r="19" spans="1:13" ht="46.2" x14ac:dyDescent="0.85">
      <c r="A19" s="63"/>
      <c r="B19" s="92"/>
      <c r="C19" s="54" t="s">
        <v>207</v>
      </c>
      <c r="D19" s="37" t="s">
        <v>84</v>
      </c>
      <c r="E19" s="37">
        <v>1</v>
      </c>
      <c r="F19" s="39">
        <v>34</v>
      </c>
      <c r="G19" s="40">
        <v>5.9</v>
      </c>
      <c r="H19" s="55">
        <f t="shared" si="0"/>
        <v>0.36875000000000002</v>
      </c>
      <c r="I19" s="35" t="s">
        <v>400</v>
      </c>
      <c r="J19" s="35"/>
      <c r="K19" s="35"/>
      <c r="L19" s="35"/>
      <c r="M19" s="129"/>
    </row>
    <row r="20" spans="1:13" ht="46.2" x14ac:dyDescent="0.85">
      <c r="A20" s="63" t="s">
        <v>157</v>
      </c>
      <c r="B20" s="92"/>
      <c r="C20" s="54" t="s">
        <v>402</v>
      </c>
      <c r="D20" s="37" t="s">
        <v>401</v>
      </c>
      <c r="E20" s="37">
        <v>1</v>
      </c>
      <c r="F20" s="39"/>
      <c r="G20" s="40">
        <v>2</v>
      </c>
      <c r="H20" s="55">
        <f t="shared" si="0"/>
        <v>0.125</v>
      </c>
      <c r="I20" s="35"/>
      <c r="J20" s="35"/>
      <c r="K20" s="35"/>
      <c r="L20" s="35"/>
      <c r="M20" s="129"/>
    </row>
    <row r="21" spans="1:13" ht="46.2" x14ac:dyDescent="0.85">
      <c r="A21" s="63"/>
      <c r="B21" s="141" t="s">
        <v>157</v>
      </c>
      <c r="C21" s="54" t="s">
        <v>404</v>
      </c>
      <c r="D21" s="37" t="s">
        <v>403</v>
      </c>
      <c r="E21" s="37">
        <v>1</v>
      </c>
      <c r="F21" s="39"/>
      <c r="G21" s="40">
        <v>5.7</v>
      </c>
      <c r="H21" s="55">
        <f t="shared" si="0"/>
        <v>0.35625000000000001</v>
      </c>
      <c r="I21" s="35" t="s">
        <v>486</v>
      </c>
      <c r="J21" s="35"/>
      <c r="K21" s="35"/>
      <c r="L21" s="35"/>
      <c r="M21" s="129"/>
    </row>
    <row r="22" spans="1:13" ht="46.2" x14ac:dyDescent="0.85">
      <c r="A22" s="63" t="s">
        <v>157</v>
      </c>
      <c r="B22" s="92"/>
      <c r="C22" s="54" t="s">
        <v>405</v>
      </c>
      <c r="D22" s="37" t="s">
        <v>401</v>
      </c>
      <c r="E22" s="37">
        <v>1</v>
      </c>
      <c r="F22" s="39"/>
      <c r="G22" s="40">
        <v>2.7</v>
      </c>
      <c r="H22" s="55">
        <f t="shared" si="0"/>
        <v>0.16875000000000001</v>
      </c>
      <c r="I22" s="35"/>
      <c r="J22" s="35"/>
      <c r="K22" s="35"/>
      <c r="L22" s="35"/>
      <c r="M22" s="129"/>
    </row>
    <row r="23" spans="1:13" ht="46.2" x14ac:dyDescent="0.85">
      <c r="A23" s="63" t="s">
        <v>157</v>
      </c>
      <c r="B23" s="92"/>
      <c r="I23" s="35"/>
      <c r="J23" s="35"/>
      <c r="K23" s="35"/>
      <c r="L23" s="35"/>
      <c r="M23" s="129"/>
    </row>
    <row r="24" spans="1:13" ht="46.2" x14ac:dyDescent="0.85">
      <c r="A24" s="63" t="s">
        <v>157</v>
      </c>
      <c r="B24" s="92"/>
      <c r="C24" s="54" t="s">
        <v>216</v>
      </c>
      <c r="D24" s="37" t="s">
        <v>111</v>
      </c>
      <c r="E24" s="37">
        <v>1</v>
      </c>
      <c r="F24" s="41">
        <v>258</v>
      </c>
      <c r="G24" s="37">
        <v>30.6</v>
      </c>
      <c r="H24" s="55">
        <f t="shared" si="0"/>
        <v>1.9125000000000001</v>
      </c>
      <c r="I24" s="35"/>
      <c r="J24" s="35"/>
      <c r="K24" s="35"/>
      <c r="L24" s="35"/>
      <c r="M24" s="129"/>
    </row>
    <row r="25" spans="1:13" ht="46.2" x14ac:dyDescent="0.85">
      <c r="A25" s="63" t="s">
        <v>157</v>
      </c>
      <c r="B25" s="92"/>
      <c r="C25" s="54" t="s">
        <v>217</v>
      </c>
      <c r="D25" s="37" t="s">
        <v>71</v>
      </c>
      <c r="E25" s="37">
        <v>1</v>
      </c>
      <c r="F25" s="41">
        <v>35.89</v>
      </c>
      <c r="G25" s="37">
        <v>4</v>
      </c>
      <c r="H25" s="55">
        <f t="shared" si="0"/>
        <v>0.25</v>
      </c>
      <c r="I25" s="35"/>
      <c r="J25" s="35"/>
      <c r="K25" s="35"/>
      <c r="L25" s="35"/>
      <c r="M25" s="129"/>
    </row>
    <row r="26" spans="1:13" ht="46.2" x14ac:dyDescent="0.85">
      <c r="A26" s="63" t="s">
        <v>157</v>
      </c>
      <c r="B26" s="92"/>
      <c r="C26" s="54" t="s">
        <v>218</v>
      </c>
      <c r="D26" s="37" t="s">
        <v>75</v>
      </c>
      <c r="E26" s="37">
        <v>1</v>
      </c>
      <c r="F26" s="41">
        <v>143.96</v>
      </c>
      <c r="G26" s="37">
        <v>21</v>
      </c>
      <c r="H26" s="55">
        <f t="shared" si="0"/>
        <v>1.3125</v>
      </c>
      <c r="I26" s="35"/>
      <c r="J26" s="35"/>
      <c r="K26" s="35"/>
      <c r="L26" s="35"/>
      <c r="M26" s="129"/>
    </row>
    <row r="27" spans="1:13" ht="409.6" x14ac:dyDescent="0.85">
      <c r="A27" s="63" t="s">
        <v>157</v>
      </c>
      <c r="B27" s="100"/>
      <c r="C27" s="56" t="s">
        <v>250</v>
      </c>
      <c r="D27" s="57" t="s">
        <v>251</v>
      </c>
      <c r="E27" s="57">
        <v>5</v>
      </c>
      <c r="F27" s="41"/>
      <c r="G27" s="37"/>
      <c r="H27" s="55"/>
      <c r="I27" s="147" t="s">
        <v>450</v>
      </c>
      <c r="J27" s="147"/>
      <c r="K27" s="147"/>
      <c r="L27" s="147"/>
      <c r="M27" s="148"/>
    </row>
    <row r="28" spans="1:13" ht="46.2" x14ac:dyDescent="0.85">
      <c r="A28" s="63" t="s">
        <v>157</v>
      </c>
      <c r="B28" s="92"/>
      <c r="C28" s="54" t="s">
        <v>219</v>
      </c>
      <c r="D28" s="37" t="s">
        <v>69</v>
      </c>
      <c r="E28" s="37">
        <v>1</v>
      </c>
      <c r="F28" s="41">
        <v>49.95</v>
      </c>
      <c r="G28" s="37">
        <v>7.4</v>
      </c>
      <c r="H28" s="55">
        <f>G28/16</f>
        <v>0.46250000000000002</v>
      </c>
      <c r="I28" s="35"/>
      <c r="J28" s="35"/>
      <c r="K28" s="35"/>
      <c r="L28" s="35"/>
      <c r="M28" s="129"/>
    </row>
    <row r="29" spans="1:13" ht="46.2" x14ac:dyDescent="0.85">
      <c r="A29" s="63"/>
      <c r="B29" s="141" t="s">
        <v>157</v>
      </c>
      <c r="C29" s="54" t="s">
        <v>255</v>
      </c>
      <c r="D29" s="37" t="s">
        <v>406</v>
      </c>
      <c r="E29" s="37">
        <v>2</v>
      </c>
      <c r="F29" s="41"/>
      <c r="G29" s="37">
        <v>3.2</v>
      </c>
      <c r="H29" s="55">
        <f>G29/16*E29</f>
        <v>0.4</v>
      </c>
      <c r="I29" s="35"/>
      <c r="J29" s="35"/>
      <c r="K29" s="35"/>
      <c r="L29" s="35"/>
      <c r="M29" s="129"/>
    </row>
    <row r="30" spans="1:13" ht="46.2" x14ac:dyDescent="0.85">
      <c r="A30" s="63" t="s">
        <v>157</v>
      </c>
      <c r="B30" s="92"/>
      <c r="C30" s="54" t="s">
        <v>256</v>
      </c>
      <c r="D30" s="37" t="s">
        <v>69</v>
      </c>
      <c r="E30" s="37">
        <v>2</v>
      </c>
      <c r="F30" s="41"/>
      <c r="G30" s="37">
        <v>7.4</v>
      </c>
      <c r="H30" s="55">
        <f>G30/16*E30</f>
        <v>0.92500000000000004</v>
      </c>
      <c r="I30" s="35"/>
      <c r="J30" s="35"/>
      <c r="K30" s="35"/>
      <c r="L30" s="35"/>
      <c r="M30" s="129"/>
    </row>
    <row r="31" spans="1:13" ht="46.2" x14ac:dyDescent="0.85">
      <c r="A31" s="63"/>
      <c r="B31" s="92"/>
      <c r="C31" s="54" t="s">
        <v>159</v>
      </c>
      <c r="D31" s="144" t="s">
        <v>463</v>
      </c>
      <c r="E31" s="37">
        <v>1</v>
      </c>
      <c r="F31" s="41"/>
      <c r="G31" s="37"/>
      <c r="H31" s="55"/>
      <c r="I31" s="35"/>
      <c r="J31" s="35"/>
      <c r="K31" s="35"/>
      <c r="L31" s="35"/>
      <c r="M31" s="129"/>
    </row>
    <row r="32" spans="1:13" ht="46.2" x14ac:dyDescent="0.85">
      <c r="A32" s="63"/>
      <c r="B32" s="92"/>
      <c r="C32" s="54" t="s">
        <v>462</v>
      </c>
      <c r="D32" s="145"/>
      <c r="E32" s="37"/>
      <c r="F32" s="41"/>
      <c r="G32" s="37"/>
      <c r="H32" s="55"/>
      <c r="I32" s="35"/>
      <c r="J32" s="35"/>
      <c r="K32" s="35"/>
      <c r="L32" s="35"/>
      <c r="M32" s="129"/>
    </row>
    <row r="33" spans="1:14" ht="46.2" x14ac:dyDescent="0.85">
      <c r="A33" s="63"/>
      <c r="B33" s="92"/>
      <c r="C33" s="54" t="s">
        <v>465</v>
      </c>
      <c r="D33" s="145"/>
      <c r="E33" s="37">
        <v>1</v>
      </c>
      <c r="F33" s="41"/>
      <c r="G33" s="37"/>
      <c r="H33" s="55"/>
      <c r="I33" s="35"/>
      <c r="J33" s="35"/>
      <c r="K33" s="35"/>
      <c r="L33" s="35"/>
      <c r="M33" s="129"/>
    </row>
    <row r="34" spans="1:14" ht="46.2" x14ac:dyDescent="0.85">
      <c r="A34" s="63"/>
      <c r="B34" s="92"/>
      <c r="C34" s="54" t="s">
        <v>467</v>
      </c>
      <c r="D34" s="146"/>
      <c r="E34" s="37">
        <v>9</v>
      </c>
      <c r="F34" s="41"/>
      <c r="G34" s="37"/>
      <c r="H34" s="55"/>
      <c r="I34" s="35"/>
      <c r="J34" s="35"/>
      <c r="K34" s="35"/>
      <c r="L34" s="35"/>
      <c r="M34" s="129"/>
    </row>
    <row r="35" spans="1:14" ht="46.2" x14ac:dyDescent="0.85">
      <c r="A35" s="63"/>
      <c r="B35" s="141" t="s">
        <v>157</v>
      </c>
      <c r="C35" s="70" t="s">
        <v>160</v>
      </c>
      <c r="D35" s="98" t="s">
        <v>505</v>
      </c>
      <c r="E35" s="37">
        <v>1</v>
      </c>
      <c r="F35" s="41"/>
      <c r="G35" s="37">
        <v>8</v>
      </c>
      <c r="H35" s="55">
        <f>G35/16</f>
        <v>0.5</v>
      </c>
      <c r="I35" s="35" t="s">
        <v>464</v>
      </c>
      <c r="J35" s="35"/>
      <c r="K35" s="35"/>
      <c r="L35" s="35"/>
      <c r="M35" s="129"/>
    </row>
    <row r="36" spans="1:14" ht="46.2" x14ac:dyDescent="0.85">
      <c r="A36" s="63"/>
      <c r="B36" s="92"/>
      <c r="C36" s="54" t="s">
        <v>466</v>
      </c>
      <c r="D36" s="37"/>
      <c r="E36" s="37"/>
      <c r="F36" s="41"/>
      <c r="G36" s="37"/>
      <c r="H36" s="55"/>
      <c r="I36" s="35" t="s">
        <v>469</v>
      </c>
      <c r="J36" s="35"/>
      <c r="K36" s="35"/>
      <c r="L36" s="35"/>
      <c r="M36" s="129"/>
    </row>
    <row r="37" spans="1:14" ht="46.2" x14ac:dyDescent="0.85">
      <c r="A37" s="63" t="s">
        <v>157</v>
      </c>
      <c r="B37" s="92"/>
      <c r="C37" s="54" t="s">
        <v>470</v>
      </c>
      <c r="D37" s="37"/>
      <c r="E37" s="37"/>
      <c r="F37" s="41"/>
      <c r="G37" s="37"/>
      <c r="H37" s="55"/>
      <c r="I37" s="35" t="s">
        <v>471</v>
      </c>
      <c r="J37" s="35"/>
      <c r="K37" s="35"/>
      <c r="L37" s="35"/>
      <c r="M37" s="129"/>
    </row>
    <row r="38" spans="1:14" ht="46.2" x14ac:dyDescent="0.85">
      <c r="I38" s="35" t="s">
        <v>407</v>
      </c>
      <c r="J38" s="35"/>
      <c r="K38" s="35"/>
      <c r="L38" s="35"/>
      <c r="M38" s="129"/>
      <c r="N38" s="88" t="s">
        <v>432</v>
      </c>
    </row>
    <row r="39" spans="1:14" ht="46.2" x14ac:dyDescent="0.85">
      <c r="A39" s="63"/>
      <c r="B39" s="92"/>
      <c r="C39" s="54" t="s">
        <v>220</v>
      </c>
      <c r="D39" s="37" t="s">
        <v>124</v>
      </c>
      <c r="E39" s="37">
        <v>1</v>
      </c>
      <c r="F39" s="37"/>
      <c r="G39" s="37">
        <f>H39*16</f>
        <v>104</v>
      </c>
      <c r="H39" s="68">
        <v>6.5</v>
      </c>
      <c r="I39" s="35"/>
      <c r="J39" s="35"/>
      <c r="K39" s="35"/>
      <c r="L39" s="35"/>
      <c r="M39" s="129"/>
    </row>
    <row r="40" spans="1:14" ht="46.2" x14ac:dyDescent="0.85">
      <c r="A40" s="63"/>
      <c r="B40" s="92"/>
      <c r="C40" s="54" t="s">
        <v>491</v>
      </c>
      <c r="D40" s="37" t="s">
        <v>490</v>
      </c>
      <c r="E40" s="37"/>
      <c r="F40" s="37"/>
      <c r="G40" s="37">
        <v>40</v>
      </c>
      <c r="H40" s="68"/>
      <c r="I40" s="35"/>
      <c r="J40" s="35"/>
      <c r="K40" s="35"/>
      <c r="L40" s="35"/>
      <c r="M40" s="129"/>
    </row>
    <row r="41" spans="1:14" ht="46.2" x14ac:dyDescent="0.85">
      <c r="A41" s="63"/>
      <c r="B41" s="92"/>
      <c r="C41" s="54" t="s">
        <v>493</v>
      </c>
      <c r="D41" s="37" t="s">
        <v>494</v>
      </c>
      <c r="E41" s="37">
        <v>15</v>
      </c>
      <c r="F41" s="37"/>
      <c r="G41" s="37"/>
      <c r="H41" s="68"/>
      <c r="I41" s="35"/>
      <c r="J41" s="35"/>
      <c r="K41" s="35"/>
      <c r="L41" s="35"/>
      <c r="M41" s="129"/>
    </row>
    <row r="42" spans="1:14" ht="46.2" x14ac:dyDescent="0.85">
      <c r="A42" s="63"/>
      <c r="B42" s="92"/>
      <c r="C42" s="54" t="s">
        <v>221</v>
      </c>
      <c r="D42" s="37" t="s">
        <v>126</v>
      </c>
      <c r="E42" s="37">
        <v>1</v>
      </c>
      <c r="F42" s="37"/>
      <c r="G42" s="37">
        <v>15.9</v>
      </c>
      <c r="H42" s="55">
        <f>G42/16</f>
        <v>0.99375000000000002</v>
      </c>
      <c r="I42" s="35"/>
      <c r="J42" s="35"/>
      <c r="K42" s="35"/>
      <c r="L42" s="35"/>
      <c r="M42" s="129"/>
    </row>
    <row r="43" spans="1:14" ht="46.2" x14ac:dyDescent="0.85">
      <c r="A43" s="63"/>
      <c r="B43" s="92"/>
      <c r="C43" s="54" t="s">
        <v>433</v>
      </c>
      <c r="D43" s="37" t="s">
        <v>434</v>
      </c>
      <c r="E43" s="37"/>
      <c r="F43" s="37"/>
      <c r="G43" s="37"/>
      <c r="H43" s="55"/>
      <c r="I43" s="35" t="s">
        <v>435</v>
      </c>
      <c r="J43" s="35"/>
      <c r="K43" s="35"/>
      <c r="L43" s="35"/>
      <c r="M43" s="129"/>
    </row>
    <row r="44" spans="1:14" ht="46.2" x14ac:dyDescent="0.85">
      <c r="A44" s="63"/>
      <c r="B44" s="92"/>
      <c r="C44" s="54" t="s">
        <v>492</v>
      </c>
      <c r="D44" s="37" t="s">
        <v>166</v>
      </c>
      <c r="E44" s="37">
        <v>10</v>
      </c>
      <c r="F44" s="37"/>
      <c r="G44" s="37" t="s">
        <v>167</v>
      </c>
      <c r="H44" s="55" t="e">
        <f>G44/16</f>
        <v>#VALUE!</v>
      </c>
      <c r="I44" s="35" t="s">
        <v>436</v>
      </c>
      <c r="J44" s="35"/>
      <c r="K44" s="35"/>
      <c r="L44" s="35"/>
      <c r="M44" s="129"/>
    </row>
    <row r="45" spans="1:14" ht="46.2" x14ac:dyDescent="0.85">
      <c r="A45" s="63"/>
      <c r="B45" s="92"/>
      <c r="C45" s="54" t="s">
        <v>146</v>
      </c>
      <c r="D45" s="37"/>
      <c r="E45" s="37"/>
      <c r="F45" s="37"/>
      <c r="G45" s="37"/>
      <c r="H45" s="68"/>
      <c r="I45" s="35"/>
      <c r="J45" s="35"/>
      <c r="K45" s="35"/>
      <c r="L45" s="35"/>
      <c r="M45" s="129"/>
    </row>
    <row r="46" spans="1:14" ht="46.2" x14ac:dyDescent="0.85">
      <c r="A46" s="63"/>
      <c r="B46" s="92"/>
      <c r="C46" s="54" t="s">
        <v>409</v>
      </c>
      <c r="D46" s="37"/>
      <c r="E46" s="37"/>
      <c r="F46" s="37"/>
      <c r="G46" s="37"/>
      <c r="H46" s="68"/>
      <c r="I46" s="35" t="s">
        <v>437</v>
      </c>
      <c r="J46" s="35"/>
      <c r="K46" s="35"/>
      <c r="L46" s="35"/>
      <c r="M46" s="129"/>
    </row>
    <row r="47" spans="1:14" ht="46.2" x14ac:dyDescent="0.85">
      <c r="A47" s="63"/>
      <c r="B47" s="92"/>
      <c r="C47" s="54" t="s">
        <v>413</v>
      </c>
      <c r="D47" s="37" t="s">
        <v>414</v>
      </c>
      <c r="E47" s="37"/>
      <c r="F47" s="37"/>
      <c r="G47" s="37">
        <v>7.5</v>
      </c>
      <c r="H47" s="55">
        <f>G47/16</f>
        <v>0.46875</v>
      </c>
      <c r="I47" s="35"/>
      <c r="J47" s="35"/>
      <c r="K47" s="35"/>
      <c r="L47" s="35"/>
      <c r="M47" s="129"/>
    </row>
    <row r="48" spans="1:14" ht="46.2" x14ac:dyDescent="0.85">
      <c r="A48" s="63" t="s">
        <v>157</v>
      </c>
      <c r="B48" s="92"/>
      <c r="C48" s="54" t="s">
        <v>134</v>
      </c>
      <c r="D48" s="37" t="s">
        <v>223</v>
      </c>
      <c r="E48" s="37"/>
      <c r="F48" s="41">
        <v>151</v>
      </c>
      <c r="G48" s="37">
        <v>15.9</v>
      </c>
      <c r="H48" s="55">
        <f>G48/16</f>
        <v>0.99375000000000002</v>
      </c>
      <c r="I48" s="35" t="s">
        <v>438</v>
      </c>
      <c r="J48" s="35"/>
      <c r="K48" s="35"/>
      <c r="L48" s="35"/>
      <c r="M48" s="129"/>
    </row>
    <row r="49" spans="1:14" ht="46.2" x14ac:dyDescent="0.85">
      <c r="A49" s="63" t="s">
        <v>157</v>
      </c>
      <c r="B49" s="92"/>
      <c r="C49" s="54" t="s">
        <v>411</v>
      </c>
      <c r="D49" s="37" t="s">
        <v>412</v>
      </c>
      <c r="E49" s="37"/>
      <c r="F49" s="41"/>
      <c r="G49" s="37">
        <v>48.3</v>
      </c>
      <c r="H49" s="55">
        <f>G49/16</f>
        <v>3.0187499999999998</v>
      </c>
      <c r="I49" s="35"/>
      <c r="J49" s="35"/>
      <c r="K49" s="35"/>
      <c r="L49" s="35"/>
      <c r="M49" s="129"/>
    </row>
    <row r="50" spans="1:14" ht="46.2" x14ac:dyDescent="0.85">
      <c r="A50" s="63" t="s">
        <v>157</v>
      </c>
      <c r="B50" s="92"/>
      <c r="C50" s="54" t="s">
        <v>439</v>
      </c>
      <c r="D50" s="37" t="s">
        <v>473</v>
      </c>
      <c r="E50" s="37"/>
      <c r="F50" s="41"/>
      <c r="G50" s="37"/>
      <c r="H50" s="55"/>
      <c r="I50" s="35" t="s">
        <v>472</v>
      </c>
      <c r="J50" s="35"/>
      <c r="K50" s="35"/>
      <c r="L50" s="35"/>
      <c r="M50" s="129"/>
    </row>
    <row r="51" spans="1:14" ht="46.2" x14ac:dyDescent="0.85">
      <c r="A51" s="63"/>
      <c r="B51" s="92"/>
      <c r="C51" s="54" t="s">
        <v>496</v>
      </c>
      <c r="D51" s="37" t="s">
        <v>498</v>
      </c>
      <c r="E51" s="37"/>
      <c r="F51" s="41"/>
      <c r="G51" s="37"/>
      <c r="H51" s="55"/>
      <c r="I51" s="35"/>
      <c r="J51" s="35"/>
      <c r="K51" s="35"/>
      <c r="L51" s="35"/>
      <c r="M51" s="129"/>
      <c r="N51" s="99" t="s">
        <v>495</v>
      </c>
    </row>
    <row r="52" spans="1:14" ht="46.2" x14ac:dyDescent="0.85">
      <c r="A52" s="63"/>
      <c r="B52" s="92"/>
      <c r="C52" s="54" t="s">
        <v>497</v>
      </c>
      <c r="D52" s="37" t="s">
        <v>498</v>
      </c>
      <c r="E52" s="37"/>
      <c r="F52" s="41"/>
      <c r="G52" s="37"/>
      <c r="H52" s="55"/>
      <c r="I52" s="35"/>
      <c r="J52" s="35"/>
      <c r="K52" s="35"/>
      <c r="L52" s="35"/>
      <c r="M52" s="129"/>
      <c r="N52" s="99"/>
    </row>
    <row r="53" spans="1:14" ht="46.2" x14ac:dyDescent="0.85">
      <c r="A53" s="63"/>
      <c r="B53" s="92"/>
      <c r="C53" s="54" t="s">
        <v>229</v>
      </c>
      <c r="D53" s="37" t="s">
        <v>65</v>
      </c>
      <c r="E53" s="37"/>
      <c r="F53" s="41">
        <v>144</v>
      </c>
      <c r="G53" s="37">
        <v>14</v>
      </c>
      <c r="H53" s="55">
        <f>G53/16</f>
        <v>0.875</v>
      </c>
      <c r="I53" s="35"/>
      <c r="J53" s="35"/>
      <c r="K53" s="35"/>
      <c r="L53" s="35"/>
      <c r="M53" s="129"/>
    </row>
    <row r="54" spans="1:14" ht="46.2" x14ac:dyDescent="0.85">
      <c r="A54" s="63"/>
      <c r="B54" s="92"/>
      <c r="C54" s="54" t="s">
        <v>230</v>
      </c>
      <c r="D54" s="37" t="s">
        <v>440</v>
      </c>
      <c r="E54" s="37">
        <v>2</v>
      </c>
      <c r="F54" s="41">
        <v>4.95</v>
      </c>
      <c r="G54" s="37">
        <v>13.4</v>
      </c>
      <c r="H54" s="55">
        <f>G54/16</f>
        <v>0.83750000000000002</v>
      </c>
      <c r="I54" s="35"/>
      <c r="J54" s="35"/>
      <c r="K54" s="35"/>
      <c r="L54" s="35"/>
      <c r="M54" s="129"/>
    </row>
    <row r="55" spans="1:14" ht="46.2" x14ac:dyDescent="0.85">
      <c r="A55" s="63" t="s">
        <v>157</v>
      </c>
      <c r="B55" s="92"/>
      <c r="C55" s="54" t="s">
        <v>225</v>
      </c>
      <c r="D55" s="37" t="s">
        <v>226</v>
      </c>
      <c r="E55" s="37"/>
      <c r="F55" s="41">
        <v>8.9499999999999993</v>
      </c>
      <c r="G55" s="37">
        <v>0.63</v>
      </c>
      <c r="H55" s="55">
        <f>G55/16</f>
        <v>3.9375E-2</v>
      </c>
      <c r="I55" s="35"/>
      <c r="J55" s="35"/>
      <c r="K55" s="35"/>
      <c r="L55" s="35"/>
      <c r="M55" s="129"/>
    </row>
    <row r="56" spans="1:14" ht="46.2" x14ac:dyDescent="0.85">
      <c r="A56" s="63"/>
      <c r="B56" s="92"/>
      <c r="C56" s="54" t="s">
        <v>271</v>
      </c>
      <c r="D56" s="37"/>
      <c r="E56" s="37"/>
      <c r="F56" s="41"/>
      <c r="G56" s="37"/>
      <c r="H56" s="55"/>
      <c r="I56" s="35" t="s">
        <v>441</v>
      </c>
      <c r="J56" s="35"/>
      <c r="K56" s="35"/>
      <c r="L56" s="35"/>
      <c r="M56" s="129"/>
    </row>
    <row r="57" spans="1:14" ht="46.2" x14ac:dyDescent="0.85">
      <c r="A57" s="63" t="s">
        <v>157</v>
      </c>
      <c r="B57" s="92"/>
      <c r="C57" s="54" t="s">
        <v>227</v>
      </c>
      <c r="D57" s="37" t="s">
        <v>442</v>
      </c>
      <c r="E57" s="37"/>
      <c r="F57" s="41">
        <v>19.95</v>
      </c>
      <c r="G57" s="37">
        <v>2.7</v>
      </c>
      <c r="H57" s="55">
        <f>G57/16</f>
        <v>0.16875000000000001</v>
      </c>
      <c r="I57" s="35" t="s">
        <v>443</v>
      </c>
      <c r="J57" s="35"/>
      <c r="K57" s="35"/>
      <c r="L57" s="35"/>
      <c r="M57" s="129"/>
    </row>
    <row r="58" spans="1:14" ht="46.2" x14ac:dyDescent="0.85">
      <c r="A58" s="63" t="s">
        <v>157</v>
      </c>
      <c r="B58" s="92" t="s">
        <v>157</v>
      </c>
      <c r="C58" s="54" t="s">
        <v>72</v>
      </c>
      <c r="D58" s="37"/>
      <c r="E58" s="37"/>
      <c r="F58" s="41">
        <v>5</v>
      </c>
      <c r="G58" s="37">
        <v>4</v>
      </c>
      <c r="H58" s="55">
        <f>G58/16</f>
        <v>0.25</v>
      </c>
      <c r="I58" s="35"/>
      <c r="J58" s="35"/>
      <c r="K58" s="35"/>
      <c r="L58" s="35"/>
      <c r="M58" s="129"/>
    </row>
    <row r="59" spans="1:14" ht="46.2" x14ac:dyDescent="0.85">
      <c r="A59" s="63" t="s">
        <v>157</v>
      </c>
      <c r="B59" s="92"/>
      <c r="C59" s="54" t="s">
        <v>446</v>
      </c>
      <c r="D59" s="54" t="s">
        <v>83</v>
      </c>
      <c r="E59" s="37"/>
      <c r="F59" s="41">
        <v>59.89</v>
      </c>
      <c r="G59" s="37">
        <v>5</v>
      </c>
      <c r="H59" s="55">
        <f>G59/16</f>
        <v>0.3125</v>
      </c>
      <c r="I59" s="35"/>
      <c r="J59" s="35"/>
      <c r="K59" s="35"/>
      <c r="L59" s="35"/>
      <c r="M59" s="129"/>
    </row>
    <row r="60" spans="1:14" ht="46.2" x14ac:dyDescent="0.85">
      <c r="A60" s="63"/>
      <c r="B60" s="92"/>
      <c r="C60" s="54" t="s">
        <v>180</v>
      </c>
      <c r="D60" s="37" t="s">
        <v>447</v>
      </c>
      <c r="E60" s="37"/>
      <c r="F60" s="41"/>
      <c r="G60" s="37"/>
      <c r="H60" s="55"/>
      <c r="I60" s="35"/>
      <c r="J60" s="35"/>
      <c r="K60" s="35"/>
      <c r="L60" s="35"/>
      <c r="M60" s="129"/>
    </row>
    <row r="61" spans="1:14" ht="46.2" x14ac:dyDescent="0.85">
      <c r="A61" s="63"/>
      <c r="B61" s="92"/>
      <c r="C61" s="54" t="s">
        <v>142</v>
      </c>
      <c r="D61" s="37" t="s">
        <v>448</v>
      </c>
      <c r="E61" s="37"/>
      <c r="F61" s="41"/>
      <c r="G61" s="37"/>
      <c r="H61" s="55"/>
      <c r="I61" s="35"/>
      <c r="J61" s="35"/>
      <c r="K61" s="35"/>
      <c r="L61" s="35"/>
      <c r="M61" s="129"/>
    </row>
    <row r="62" spans="1:14" ht="46.2" x14ac:dyDescent="0.85">
      <c r="A62" s="63"/>
      <c r="B62" s="92"/>
      <c r="C62" s="54" t="s">
        <v>143</v>
      </c>
      <c r="D62" s="37"/>
      <c r="E62" s="37">
        <v>4</v>
      </c>
      <c r="F62" s="41"/>
      <c r="G62" s="37"/>
      <c r="H62" s="55"/>
      <c r="I62" s="35"/>
      <c r="J62" s="35"/>
      <c r="K62" s="35"/>
      <c r="L62" s="35"/>
      <c r="M62" s="129"/>
    </row>
    <row r="63" spans="1:14" ht="46.2" x14ac:dyDescent="0.85">
      <c r="A63" s="63"/>
      <c r="B63" s="92"/>
      <c r="C63" s="54" t="s">
        <v>474</v>
      </c>
      <c r="D63" s="37" t="s">
        <v>477</v>
      </c>
      <c r="E63" s="37">
        <v>3</v>
      </c>
      <c r="F63" s="37"/>
      <c r="G63" s="37"/>
      <c r="H63" s="55"/>
      <c r="I63" s="35" t="s">
        <v>476</v>
      </c>
      <c r="J63" s="35"/>
      <c r="K63" s="35"/>
      <c r="L63" s="35"/>
      <c r="M63" s="129"/>
    </row>
    <row r="64" spans="1:14" ht="46.2" x14ac:dyDescent="0.85">
      <c r="A64" s="63"/>
      <c r="B64" s="92"/>
      <c r="C64" s="54" t="s">
        <v>328</v>
      </c>
      <c r="D64" s="37"/>
      <c r="E64" s="37">
        <v>6</v>
      </c>
      <c r="F64" s="37"/>
      <c r="G64" s="37">
        <v>0.7</v>
      </c>
      <c r="H64" s="55">
        <f>G64/16</f>
        <v>4.3749999999999997E-2</v>
      </c>
      <c r="I64" s="35" t="s">
        <v>475</v>
      </c>
      <c r="J64" s="35"/>
      <c r="K64" s="35"/>
      <c r="L64" s="35"/>
      <c r="M64" s="129"/>
    </row>
    <row r="65" spans="1:13" ht="46.2" x14ac:dyDescent="0.85">
      <c r="A65" s="63" t="s">
        <v>157</v>
      </c>
      <c r="B65" s="100"/>
      <c r="C65" s="95" t="s">
        <v>120</v>
      </c>
      <c r="D65" s="46"/>
      <c r="E65" s="46"/>
      <c r="F65" s="47"/>
      <c r="G65" s="46"/>
      <c r="H65" s="96"/>
      <c r="I65" s="35" t="s">
        <v>478</v>
      </c>
      <c r="J65" s="35"/>
      <c r="K65" s="35"/>
      <c r="L65" s="35"/>
      <c r="M65" s="129"/>
    </row>
    <row r="66" spans="1:13" ht="46.2" x14ac:dyDescent="0.85">
      <c r="A66" s="92"/>
      <c r="B66" s="132"/>
      <c r="C66" s="49" t="s">
        <v>449</v>
      </c>
      <c r="D66" s="51"/>
      <c r="E66" s="51"/>
      <c r="F66" s="52"/>
      <c r="G66" s="51"/>
      <c r="H66" s="53"/>
      <c r="I66" s="35"/>
      <c r="J66" s="35"/>
      <c r="K66" s="35"/>
      <c r="L66" s="35"/>
      <c r="M66" s="129"/>
    </row>
    <row r="67" spans="1:13" ht="46.2" x14ac:dyDescent="0.85">
      <c r="A67" s="92" t="s">
        <v>157</v>
      </c>
      <c r="B67" s="92"/>
      <c r="C67" s="54" t="s">
        <v>277</v>
      </c>
      <c r="D67" s="37" t="s">
        <v>564</v>
      </c>
      <c r="E67" s="37">
        <v>1</v>
      </c>
      <c r="F67" s="41">
        <v>4.95</v>
      </c>
      <c r="G67" s="37"/>
      <c r="H67" s="55"/>
      <c r="I67" s="35"/>
      <c r="J67" s="35"/>
      <c r="K67" s="35"/>
      <c r="L67" s="35"/>
      <c r="M67" s="129"/>
    </row>
    <row r="68" spans="1:13" ht="46.2" x14ac:dyDescent="0.85">
      <c r="A68" s="92"/>
      <c r="B68" s="92"/>
      <c r="C68" s="54" t="s">
        <v>139</v>
      </c>
      <c r="D68" s="37" t="s">
        <v>564</v>
      </c>
      <c r="E68" s="37">
        <v>1</v>
      </c>
      <c r="F68" s="41"/>
      <c r="G68" s="37"/>
      <c r="H68" s="55"/>
      <c r="I68" s="35"/>
      <c r="J68" s="35"/>
      <c r="K68" s="35"/>
      <c r="L68" s="35"/>
      <c r="M68" s="129"/>
    </row>
    <row r="69" spans="1:13" ht="46.2" x14ac:dyDescent="0.85">
      <c r="A69" s="92" t="s">
        <v>157</v>
      </c>
      <c r="B69" s="92"/>
      <c r="C69" s="54" t="s">
        <v>144</v>
      </c>
      <c r="D69" s="37"/>
      <c r="E69" s="37">
        <v>2</v>
      </c>
      <c r="F69" s="41"/>
      <c r="G69" s="37"/>
      <c r="H69" s="55"/>
      <c r="I69" s="35"/>
      <c r="J69" s="35"/>
      <c r="K69" s="35"/>
      <c r="L69" s="35"/>
      <c r="M69" s="129"/>
    </row>
    <row r="70" spans="1:13" ht="46.2" x14ac:dyDescent="0.85">
      <c r="A70" s="92" t="s">
        <v>157</v>
      </c>
      <c r="B70" s="92"/>
      <c r="C70" s="54" t="s">
        <v>140</v>
      </c>
      <c r="D70" s="37"/>
      <c r="E70" s="37">
        <v>28</v>
      </c>
      <c r="F70" s="41"/>
      <c r="G70" s="37"/>
      <c r="H70" s="55"/>
      <c r="I70" s="35"/>
      <c r="J70" s="35"/>
      <c r="K70" s="35"/>
      <c r="L70" s="35"/>
      <c r="M70" s="129"/>
    </row>
    <row r="71" spans="1:13" ht="46.2" x14ac:dyDescent="0.85">
      <c r="A71" s="92" t="s">
        <v>157</v>
      </c>
      <c r="B71" s="92"/>
      <c r="C71" s="54" t="s">
        <v>204</v>
      </c>
      <c r="D71" s="37"/>
      <c r="E71" s="37">
        <v>1</v>
      </c>
      <c r="F71" s="41"/>
      <c r="G71" s="37"/>
      <c r="H71" s="55"/>
      <c r="I71" s="35"/>
      <c r="J71" s="35"/>
      <c r="K71" s="35"/>
      <c r="L71" s="35"/>
      <c r="M71" s="129"/>
    </row>
    <row r="72" spans="1:13" ht="46.2" x14ac:dyDescent="0.85">
      <c r="A72" s="92" t="s">
        <v>157</v>
      </c>
      <c r="B72" s="92"/>
      <c r="C72" s="54" t="s">
        <v>231</v>
      </c>
      <c r="D72" s="37" t="s">
        <v>564</v>
      </c>
      <c r="E72" s="37">
        <v>1</v>
      </c>
      <c r="F72" s="41"/>
      <c r="G72" s="37"/>
      <c r="H72" s="55"/>
      <c r="I72" s="35" t="s">
        <v>454</v>
      </c>
      <c r="J72" s="35"/>
      <c r="K72" s="35"/>
      <c r="L72" s="35"/>
      <c r="M72" s="129"/>
    </row>
    <row r="73" spans="1:13" ht="46.2" x14ac:dyDescent="0.85">
      <c r="A73" s="92" t="s">
        <v>157</v>
      </c>
      <c r="B73" s="92" t="s">
        <v>167</v>
      </c>
      <c r="C73" s="54" t="s">
        <v>455</v>
      </c>
      <c r="D73" s="37" t="s">
        <v>565</v>
      </c>
      <c r="E73" s="37">
        <v>1</v>
      </c>
      <c r="F73" s="41"/>
      <c r="G73" s="37"/>
      <c r="H73" s="55"/>
      <c r="I73" s="35" t="s">
        <v>457</v>
      </c>
      <c r="J73" s="35"/>
      <c r="K73" s="35"/>
      <c r="L73" s="35"/>
      <c r="M73" s="129"/>
    </row>
    <row r="74" spans="1:13" ht="46.2" x14ac:dyDescent="0.85">
      <c r="A74" s="92" t="s">
        <v>157</v>
      </c>
      <c r="B74" s="92" t="s">
        <v>167</v>
      </c>
      <c r="C74" s="54" t="s">
        <v>456</v>
      </c>
      <c r="D74" s="37" t="s">
        <v>566</v>
      </c>
      <c r="E74" s="37">
        <v>1</v>
      </c>
      <c r="F74" s="41"/>
      <c r="G74" s="37"/>
      <c r="H74" s="55"/>
      <c r="I74" s="35" t="s">
        <v>457</v>
      </c>
      <c r="J74" s="35"/>
      <c r="K74" s="35"/>
      <c r="L74" s="35"/>
      <c r="M74" s="129"/>
    </row>
    <row r="75" spans="1:13" ht="46.2" x14ac:dyDescent="0.85">
      <c r="A75" s="92"/>
      <c r="B75" s="92"/>
      <c r="C75" s="54" t="s">
        <v>198</v>
      </c>
      <c r="D75" s="37"/>
      <c r="E75" s="37"/>
      <c r="F75" s="41"/>
      <c r="G75" s="37"/>
      <c r="H75" s="55"/>
      <c r="I75" s="35" t="s">
        <v>451</v>
      </c>
      <c r="J75" s="35"/>
      <c r="K75" s="35"/>
      <c r="L75" s="35"/>
      <c r="M75" s="129"/>
    </row>
    <row r="76" spans="1:13" ht="46.2" x14ac:dyDescent="0.85">
      <c r="A76" s="92" t="s">
        <v>157</v>
      </c>
      <c r="B76" s="92"/>
      <c r="C76" s="54" t="s">
        <v>209</v>
      </c>
      <c r="D76" s="37" t="s">
        <v>452</v>
      </c>
      <c r="E76" s="37">
        <v>10</v>
      </c>
      <c r="F76" s="37"/>
      <c r="G76" s="37"/>
      <c r="H76" s="68"/>
      <c r="I76" s="35" t="s">
        <v>453</v>
      </c>
      <c r="J76" s="35"/>
      <c r="K76" s="35"/>
      <c r="L76" s="35"/>
      <c r="M76" s="129"/>
    </row>
    <row r="77" spans="1:13" ht="46.2" x14ac:dyDescent="0.85">
      <c r="A77" s="92" t="s">
        <v>157</v>
      </c>
      <c r="B77" s="100"/>
      <c r="C77" s="95" t="s">
        <v>5</v>
      </c>
      <c r="D77" s="46" t="s">
        <v>85</v>
      </c>
      <c r="E77" s="46"/>
      <c r="F77" s="47">
        <v>50</v>
      </c>
      <c r="G77" s="46">
        <v>4.2</v>
      </c>
      <c r="H77" s="96">
        <f>G77/16</f>
        <v>0.26250000000000001</v>
      </c>
      <c r="I77" s="35"/>
      <c r="J77" s="35"/>
      <c r="K77" s="35"/>
      <c r="L77" s="35"/>
      <c r="M77" s="129"/>
    </row>
    <row r="78" spans="1:13" ht="46.2" x14ac:dyDescent="0.85">
      <c r="A78" s="92" t="s">
        <v>157</v>
      </c>
      <c r="B78" s="132"/>
      <c r="C78" s="49" t="s">
        <v>458</v>
      </c>
      <c r="D78" s="51"/>
      <c r="E78" s="51"/>
      <c r="F78" s="52"/>
      <c r="G78" s="51"/>
      <c r="H78" s="53"/>
      <c r="I78" s="35"/>
      <c r="J78" s="35"/>
      <c r="K78" s="35"/>
      <c r="L78" s="35"/>
      <c r="M78" s="129"/>
    </row>
    <row r="79" spans="1:13" ht="46.2" x14ac:dyDescent="0.85">
      <c r="A79" s="63" t="s">
        <v>157</v>
      </c>
      <c r="B79" s="92"/>
      <c r="C79" s="54" t="s">
        <v>135</v>
      </c>
      <c r="D79" s="37"/>
      <c r="E79" s="37">
        <v>1</v>
      </c>
      <c r="F79" s="41"/>
      <c r="G79" s="37"/>
      <c r="H79" s="55"/>
      <c r="I79" s="35" t="s">
        <v>461</v>
      </c>
      <c r="J79" s="35"/>
      <c r="K79" s="35"/>
      <c r="L79" s="35"/>
      <c r="M79" s="129"/>
    </row>
    <row r="80" spans="1:13" ht="46.2" x14ac:dyDescent="0.85">
      <c r="A80" s="63" t="s">
        <v>157</v>
      </c>
      <c r="B80" s="141" t="s">
        <v>157</v>
      </c>
      <c r="C80" s="54" t="s">
        <v>444</v>
      </c>
      <c r="D80" s="54" t="s">
        <v>68</v>
      </c>
      <c r="E80" s="37">
        <v>1</v>
      </c>
      <c r="F80" s="41">
        <v>299</v>
      </c>
      <c r="G80" s="37">
        <v>3.5</v>
      </c>
      <c r="H80" s="55">
        <f>G80/16</f>
        <v>0.21875</v>
      </c>
      <c r="I80" s="35" t="s">
        <v>445</v>
      </c>
      <c r="J80" s="35"/>
      <c r="K80" s="35"/>
      <c r="L80" s="35"/>
      <c r="M80" s="129"/>
    </row>
    <row r="81" spans="1:13" ht="46.2" x14ac:dyDescent="0.85">
      <c r="A81" s="92" t="s">
        <v>157</v>
      </c>
      <c r="B81" s="92"/>
      <c r="C81" s="54" t="s">
        <v>459</v>
      </c>
      <c r="D81" s="37"/>
      <c r="E81" s="37">
        <v>1</v>
      </c>
      <c r="F81" s="41"/>
      <c r="G81" s="37"/>
      <c r="H81" s="55"/>
      <c r="I81" s="35"/>
      <c r="J81" s="35"/>
      <c r="K81" s="35"/>
      <c r="L81" s="35"/>
      <c r="M81" s="129"/>
    </row>
    <row r="82" spans="1:13" ht="46.2" x14ac:dyDescent="0.85">
      <c r="A82" s="92" t="s">
        <v>157</v>
      </c>
      <c r="B82" s="92"/>
      <c r="C82" s="54" t="s">
        <v>460</v>
      </c>
      <c r="D82" s="37"/>
      <c r="E82" s="37">
        <v>1</v>
      </c>
      <c r="F82" s="41"/>
      <c r="G82" s="37"/>
      <c r="H82" s="55"/>
      <c r="I82" s="35"/>
      <c r="J82" s="35"/>
      <c r="K82" s="35"/>
      <c r="L82" s="35"/>
      <c r="M82" s="129"/>
    </row>
    <row r="83" spans="1:13" ht="46.2" x14ac:dyDescent="0.85">
      <c r="A83" s="92"/>
      <c r="B83" s="100"/>
      <c r="C83" s="94"/>
      <c r="D83" s="57"/>
      <c r="E83" s="57"/>
      <c r="F83" s="58"/>
      <c r="G83" s="57"/>
      <c r="H83" s="59"/>
      <c r="I83" s="35"/>
      <c r="J83" s="35"/>
      <c r="K83" s="35"/>
      <c r="L83" s="35"/>
      <c r="M83" s="129"/>
    </row>
    <row r="84" spans="1:13" ht="46.2" x14ac:dyDescent="0.85">
      <c r="A84" s="92"/>
      <c r="B84" s="132"/>
      <c r="C84" s="91" t="s">
        <v>555</v>
      </c>
      <c r="D84" s="72"/>
      <c r="E84" s="72"/>
      <c r="F84" s="74"/>
      <c r="G84" s="72"/>
      <c r="H84" s="97"/>
      <c r="I84" s="35"/>
      <c r="J84" s="35"/>
      <c r="K84" s="35"/>
      <c r="L84" s="35"/>
      <c r="M84" s="129"/>
    </row>
    <row r="85" spans="1:13" ht="46.2" x14ac:dyDescent="0.85">
      <c r="A85" s="92" t="s">
        <v>157</v>
      </c>
      <c r="B85" s="132"/>
      <c r="C85" s="90" t="s">
        <v>560</v>
      </c>
      <c r="D85" s="72"/>
      <c r="E85" s="72">
        <v>2</v>
      </c>
      <c r="F85" s="74"/>
      <c r="G85" s="72"/>
      <c r="H85" s="97"/>
      <c r="I85" s="35"/>
      <c r="J85" s="35"/>
      <c r="K85" s="35"/>
      <c r="L85" s="35"/>
      <c r="M85" s="129"/>
    </row>
    <row r="86" spans="1:13" ht="46.2" x14ac:dyDescent="0.85">
      <c r="A86" s="92" t="s">
        <v>157</v>
      </c>
      <c r="B86" s="132"/>
      <c r="C86" s="90" t="s">
        <v>539</v>
      </c>
      <c r="D86" s="72"/>
      <c r="E86" s="72">
        <v>4</v>
      </c>
      <c r="F86" s="74"/>
      <c r="G86" s="72"/>
      <c r="H86" s="97"/>
      <c r="I86" s="35"/>
      <c r="J86" s="35"/>
      <c r="K86" s="35"/>
      <c r="L86" s="35"/>
      <c r="M86" s="129"/>
    </row>
    <row r="87" spans="1:13" ht="46.2" x14ac:dyDescent="0.85">
      <c r="A87" s="92" t="s">
        <v>157</v>
      </c>
      <c r="B87" s="132"/>
      <c r="C87" s="90" t="s">
        <v>540</v>
      </c>
      <c r="D87" s="72"/>
      <c r="E87" s="72">
        <v>4</v>
      </c>
      <c r="F87" s="74"/>
      <c r="G87" s="72"/>
      <c r="H87" s="97"/>
      <c r="I87" s="35"/>
      <c r="J87" s="35"/>
      <c r="K87" s="35"/>
      <c r="L87" s="35"/>
      <c r="M87" s="129"/>
    </row>
    <row r="88" spans="1:13" ht="46.2" x14ac:dyDescent="0.85">
      <c r="A88" s="92" t="s">
        <v>157</v>
      </c>
      <c r="B88" s="132"/>
      <c r="C88" s="90" t="s">
        <v>542</v>
      </c>
      <c r="D88" s="72"/>
      <c r="E88" s="72">
        <v>4</v>
      </c>
      <c r="F88" s="74"/>
      <c r="G88" s="72"/>
      <c r="H88" s="97"/>
      <c r="I88" s="35"/>
      <c r="J88" s="35"/>
      <c r="K88" s="35"/>
      <c r="L88" s="35"/>
      <c r="M88" s="129"/>
    </row>
    <row r="89" spans="1:13" ht="46.2" x14ac:dyDescent="0.85">
      <c r="A89" s="92" t="s">
        <v>157</v>
      </c>
      <c r="B89" s="132"/>
      <c r="C89" s="90" t="s">
        <v>551</v>
      </c>
      <c r="D89" s="72"/>
      <c r="E89" s="72">
        <v>4</v>
      </c>
      <c r="F89" s="74"/>
      <c r="G89" s="72"/>
      <c r="H89" s="97"/>
      <c r="I89" s="35"/>
      <c r="J89" s="35"/>
      <c r="K89" s="35"/>
      <c r="L89" s="35"/>
      <c r="M89" s="129"/>
    </row>
    <row r="90" spans="1:13" ht="46.2" x14ac:dyDescent="0.85">
      <c r="A90" s="92" t="s">
        <v>157</v>
      </c>
      <c r="B90" s="132"/>
      <c r="C90" s="90" t="s">
        <v>554</v>
      </c>
      <c r="D90" s="72"/>
      <c r="E90" s="72">
        <v>2</v>
      </c>
      <c r="F90" s="74"/>
      <c r="G90" s="72"/>
      <c r="H90" s="97"/>
      <c r="I90" s="35"/>
      <c r="J90" s="35"/>
      <c r="K90" s="35"/>
      <c r="L90" s="35"/>
      <c r="M90" s="129"/>
    </row>
    <row r="91" spans="1:13" ht="46.2" x14ac:dyDescent="0.85">
      <c r="A91" s="92" t="s">
        <v>157</v>
      </c>
      <c r="B91" s="132"/>
      <c r="C91" s="90" t="s">
        <v>552</v>
      </c>
      <c r="D91" s="72"/>
      <c r="E91" s="72">
        <v>2</v>
      </c>
      <c r="F91" s="74"/>
      <c r="G91" s="72"/>
      <c r="H91" s="97"/>
      <c r="I91" s="35"/>
      <c r="J91" s="35"/>
      <c r="K91" s="35"/>
      <c r="L91" s="35"/>
      <c r="M91" s="129"/>
    </row>
    <row r="92" spans="1:13" ht="46.2" x14ac:dyDescent="0.85">
      <c r="A92" s="92"/>
      <c r="B92" s="132"/>
      <c r="C92" s="90" t="s">
        <v>553</v>
      </c>
      <c r="D92" s="72"/>
      <c r="E92" s="72">
        <v>1</v>
      </c>
      <c r="F92" s="74"/>
      <c r="G92" s="72"/>
      <c r="H92" s="97"/>
      <c r="I92" s="35"/>
      <c r="J92" s="35"/>
      <c r="K92" s="35"/>
      <c r="L92" s="35"/>
      <c r="M92" s="129"/>
    </row>
    <row r="93" spans="1:13" ht="46.2" x14ac:dyDescent="0.85">
      <c r="A93" s="92" t="s">
        <v>157</v>
      </c>
      <c r="B93" s="132"/>
      <c r="C93" s="90" t="s">
        <v>544</v>
      </c>
      <c r="D93" s="72" t="s">
        <v>545</v>
      </c>
      <c r="E93" s="72">
        <v>20</v>
      </c>
      <c r="F93" s="74"/>
      <c r="G93" s="72"/>
      <c r="H93" s="97"/>
      <c r="I93" s="35"/>
      <c r="J93" s="35"/>
      <c r="K93" s="35"/>
      <c r="L93" s="35"/>
      <c r="M93" s="129"/>
    </row>
    <row r="94" spans="1:13" ht="46.2" x14ac:dyDescent="0.85">
      <c r="A94" s="92" t="s">
        <v>157</v>
      </c>
      <c r="B94" s="132"/>
      <c r="C94" s="90" t="s">
        <v>546</v>
      </c>
      <c r="D94" s="72"/>
      <c r="E94" s="72">
        <v>4</v>
      </c>
      <c r="F94" s="74"/>
      <c r="G94" s="72"/>
      <c r="H94" s="97"/>
      <c r="I94" s="35"/>
      <c r="J94" s="35"/>
      <c r="K94" s="35"/>
      <c r="L94" s="35"/>
      <c r="M94" s="129"/>
    </row>
    <row r="95" spans="1:13" ht="46.2" x14ac:dyDescent="0.85">
      <c r="A95" s="92" t="s">
        <v>157</v>
      </c>
      <c r="B95" s="132"/>
      <c r="C95" s="90" t="s">
        <v>550</v>
      </c>
      <c r="D95" s="72"/>
      <c r="E95" s="72">
        <v>4</v>
      </c>
      <c r="F95" s="74"/>
      <c r="G95" s="72"/>
      <c r="H95" s="97"/>
      <c r="I95" s="35"/>
      <c r="J95" s="35"/>
      <c r="K95" s="35"/>
      <c r="L95" s="35"/>
      <c r="M95" s="129"/>
    </row>
    <row r="96" spans="1:13" ht="46.2" x14ac:dyDescent="0.85">
      <c r="A96" s="92" t="s">
        <v>157</v>
      </c>
      <c r="B96" s="132"/>
      <c r="C96" s="90" t="s">
        <v>549</v>
      </c>
      <c r="D96" s="72"/>
      <c r="E96" s="72">
        <v>4</v>
      </c>
      <c r="F96" s="74"/>
      <c r="G96" s="72"/>
      <c r="H96" s="97"/>
      <c r="I96" s="35"/>
      <c r="J96" s="35"/>
      <c r="K96" s="35"/>
      <c r="L96" s="35"/>
      <c r="M96" s="129"/>
    </row>
    <row r="97" spans="1:13" ht="46.2" x14ac:dyDescent="0.85">
      <c r="A97" s="92"/>
      <c r="B97" s="132"/>
      <c r="C97" s="90" t="s">
        <v>561</v>
      </c>
      <c r="D97" s="72"/>
      <c r="E97" s="72">
        <v>1</v>
      </c>
      <c r="F97" s="74"/>
      <c r="G97" s="72"/>
      <c r="H97" s="97"/>
      <c r="I97" s="35"/>
      <c r="J97" s="35"/>
      <c r="K97" s="35"/>
      <c r="L97" s="35"/>
      <c r="M97" s="129"/>
    </row>
    <row r="98" spans="1:13" ht="409.6" x14ac:dyDescent="0.85">
      <c r="A98" s="92"/>
      <c r="B98" s="132"/>
      <c r="C98" s="90" t="s">
        <v>547</v>
      </c>
      <c r="D98" s="140" t="s">
        <v>548</v>
      </c>
      <c r="E98" s="72">
        <v>1</v>
      </c>
      <c r="F98" s="74"/>
      <c r="G98" s="72">
        <v>4.4000000000000004</v>
      </c>
      <c r="H98" s="97"/>
      <c r="I98" s="35"/>
      <c r="J98" s="35"/>
      <c r="K98" s="35"/>
      <c r="L98" s="35"/>
      <c r="M98" s="129"/>
    </row>
    <row r="99" spans="1:13" ht="46.2" x14ac:dyDescent="0.85">
      <c r="A99" s="92" t="s">
        <v>157</v>
      </c>
      <c r="B99" s="132"/>
      <c r="C99" s="90" t="s">
        <v>543</v>
      </c>
      <c r="D99" s="140"/>
      <c r="E99" s="72">
        <v>1</v>
      </c>
      <c r="F99" s="74"/>
      <c r="G99" s="72"/>
      <c r="H99" s="97"/>
      <c r="I99" s="35"/>
      <c r="J99" s="35"/>
      <c r="K99" s="35"/>
      <c r="L99" s="35"/>
      <c r="M99" s="129"/>
    </row>
    <row r="100" spans="1:13" ht="46.2" x14ac:dyDescent="0.85">
      <c r="A100" s="92" t="s">
        <v>157</v>
      </c>
      <c r="B100" s="132"/>
      <c r="C100" s="90" t="s">
        <v>541</v>
      </c>
      <c r="D100" s="140"/>
      <c r="E100" s="72">
        <v>4</v>
      </c>
      <c r="F100" s="74"/>
      <c r="G100" s="72"/>
      <c r="H100" s="97"/>
      <c r="I100" s="35"/>
      <c r="J100" s="35"/>
      <c r="K100" s="35"/>
      <c r="L100" s="35"/>
      <c r="M100" s="129"/>
    </row>
    <row r="101" spans="1:13" ht="46.2" x14ac:dyDescent="0.85">
      <c r="A101" s="92" t="s">
        <v>157</v>
      </c>
      <c r="B101" s="132"/>
      <c r="C101" s="90" t="s">
        <v>562</v>
      </c>
      <c r="D101" s="140"/>
      <c r="E101" s="72">
        <v>1</v>
      </c>
      <c r="F101" s="74"/>
      <c r="G101" s="72"/>
      <c r="H101" s="97"/>
      <c r="I101" s="35"/>
      <c r="J101" s="35"/>
      <c r="K101" s="35"/>
      <c r="L101" s="35"/>
      <c r="M101" s="129"/>
    </row>
    <row r="102" spans="1:13" ht="46.2" x14ac:dyDescent="0.85">
      <c r="A102" s="92"/>
      <c r="B102" s="132"/>
      <c r="C102" s="90"/>
      <c r="D102" s="140"/>
      <c r="E102" s="72"/>
      <c r="F102" s="74"/>
      <c r="G102" s="72"/>
      <c r="H102" s="97"/>
      <c r="I102" s="35"/>
      <c r="J102" s="35"/>
      <c r="K102" s="35"/>
      <c r="L102" s="35"/>
      <c r="M102" s="129"/>
    </row>
    <row r="103" spans="1:13" ht="46.2" x14ac:dyDescent="0.85">
      <c r="A103" s="92"/>
      <c r="B103" s="132"/>
      <c r="C103" s="91" t="s">
        <v>556</v>
      </c>
      <c r="D103" s="140"/>
      <c r="E103" s="72"/>
      <c r="F103" s="74"/>
      <c r="G103" s="72"/>
      <c r="H103" s="97"/>
      <c r="I103" s="35"/>
      <c r="J103" s="35"/>
      <c r="K103" s="35"/>
      <c r="L103" s="35"/>
      <c r="M103" s="129"/>
    </row>
    <row r="104" spans="1:13" ht="46.2" x14ac:dyDescent="0.85">
      <c r="A104" s="92" t="s">
        <v>157</v>
      </c>
      <c r="B104" s="132"/>
      <c r="C104" s="90" t="s">
        <v>557</v>
      </c>
      <c r="D104" s="72"/>
      <c r="E104" s="72">
        <v>2</v>
      </c>
      <c r="F104" s="74"/>
      <c r="G104" s="72"/>
      <c r="H104" s="97"/>
      <c r="I104" s="35"/>
      <c r="J104" s="35"/>
      <c r="K104" s="35"/>
      <c r="L104" s="35"/>
      <c r="M104" s="129"/>
    </row>
    <row r="105" spans="1:13" ht="46.2" x14ac:dyDescent="0.85">
      <c r="A105" s="92" t="s">
        <v>157</v>
      </c>
      <c r="B105" s="132"/>
      <c r="C105" s="54" t="s">
        <v>245</v>
      </c>
      <c r="D105" s="37" t="s">
        <v>246</v>
      </c>
      <c r="E105" s="37">
        <v>1</v>
      </c>
      <c r="F105" s="41">
        <v>21</v>
      </c>
      <c r="G105" s="37">
        <v>3.9</v>
      </c>
      <c r="H105" s="55">
        <f>G105/16</f>
        <v>0.24374999999999999</v>
      </c>
      <c r="I105" s="35" t="s">
        <v>468</v>
      </c>
      <c r="J105" s="35"/>
      <c r="K105" s="35"/>
      <c r="L105" s="35"/>
      <c r="M105" s="129"/>
    </row>
    <row r="106" spans="1:13" ht="46.2" x14ac:dyDescent="0.85">
      <c r="A106" s="63" t="s">
        <v>157</v>
      </c>
      <c r="B106" s="92"/>
      <c r="C106" s="54" t="s">
        <v>408</v>
      </c>
      <c r="D106" s="37" t="s">
        <v>563</v>
      </c>
      <c r="E106" s="37">
        <v>1</v>
      </c>
      <c r="F106" s="41"/>
      <c r="G106" s="37">
        <v>26</v>
      </c>
      <c r="H106" s="55">
        <f>G106/16*E106</f>
        <v>1.625</v>
      </c>
      <c r="I106" s="35"/>
      <c r="J106" s="35"/>
      <c r="K106" s="35"/>
      <c r="L106" s="35"/>
      <c r="M106" s="129"/>
    </row>
    <row r="107" spans="1:13" ht="46.2" x14ac:dyDescent="0.85">
      <c r="A107" s="92" t="s">
        <v>157</v>
      </c>
      <c r="B107" s="92"/>
      <c r="C107" s="54" t="s">
        <v>206</v>
      </c>
      <c r="D107" s="37"/>
      <c r="E107" s="37">
        <v>10</v>
      </c>
      <c r="F107" s="37"/>
      <c r="G107" s="37"/>
      <c r="H107" s="68"/>
      <c r="I107" s="35" t="s">
        <v>479</v>
      </c>
      <c r="J107" s="35"/>
      <c r="K107" s="35"/>
      <c r="L107" s="35"/>
      <c r="M107" s="129"/>
    </row>
    <row r="108" spans="1:13" ht="46.2" x14ac:dyDescent="0.85">
      <c r="A108" s="92"/>
      <c r="B108" s="92"/>
      <c r="C108" s="54" t="s">
        <v>558</v>
      </c>
      <c r="D108" s="37"/>
      <c r="E108" s="37">
        <v>1</v>
      </c>
      <c r="F108" s="41"/>
      <c r="G108" s="37"/>
      <c r="H108" s="55"/>
      <c r="I108" s="35"/>
      <c r="J108" s="35"/>
      <c r="K108" s="35"/>
      <c r="L108" s="35"/>
      <c r="M108" s="129"/>
    </row>
    <row r="109" spans="1:13" ht="46.2" x14ac:dyDescent="0.85">
      <c r="A109" s="63" t="s">
        <v>157</v>
      </c>
      <c r="B109" s="100"/>
      <c r="C109" s="100" t="s">
        <v>559</v>
      </c>
      <c r="D109" s="60"/>
      <c r="E109" s="37"/>
      <c r="F109" s="37"/>
      <c r="G109" s="37"/>
      <c r="H109" s="68"/>
      <c r="I109" s="35"/>
      <c r="J109" s="35"/>
      <c r="K109" s="35"/>
      <c r="L109" s="35"/>
      <c r="M109" s="129"/>
    </row>
    <row r="110" spans="1:13" ht="46.2" x14ac:dyDescent="0.85">
      <c r="A110" s="63"/>
      <c r="B110" s="132"/>
      <c r="C110" s="91" t="s">
        <v>187</v>
      </c>
      <c r="D110" s="73"/>
      <c r="E110" s="72"/>
      <c r="F110" s="74"/>
      <c r="G110" s="72"/>
      <c r="H110" s="93"/>
      <c r="I110" s="35"/>
      <c r="J110" s="35"/>
      <c r="K110" s="35"/>
      <c r="L110" s="35"/>
      <c r="M110" s="129"/>
    </row>
    <row r="111" spans="1:13" ht="46.2" x14ac:dyDescent="0.85">
      <c r="A111" s="63" t="s">
        <v>157</v>
      </c>
      <c r="B111" s="92"/>
      <c r="C111" s="36" t="s">
        <v>189</v>
      </c>
      <c r="D111" s="42" t="s">
        <v>272</v>
      </c>
      <c r="E111" s="37">
        <v>1</v>
      </c>
      <c r="F111" s="41">
        <v>170</v>
      </c>
      <c r="G111" s="37">
        <f>H111*16</f>
        <v>63.36</v>
      </c>
      <c r="H111" s="40">
        <v>3.96</v>
      </c>
      <c r="I111" s="35"/>
      <c r="J111" s="35"/>
      <c r="K111" s="35"/>
      <c r="L111" s="35"/>
      <c r="M111" s="129"/>
    </row>
    <row r="112" spans="1:13" ht="46.2" x14ac:dyDescent="0.85">
      <c r="A112" s="63" t="s">
        <v>157</v>
      </c>
      <c r="B112" s="92"/>
      <c r="C112" s="36" t="s">
        <v>190</v>
      </c>
      <c r="D112" s="42" t="s">
        <v>235</v>
      </c>
      <c r="E112" s="37">
        <v>1</v>
      </c>
      <c r="F112" s="41">
        <v>55</v>
      </c>
      <c r="G112" s="37"/>
      <c r="H112" s="40"/>
      <c r="I112" s="35"/>
      <c r="J112" s="35"/>
      <c r="K112" s="35"/>
      <c r="L112" s="35"/>
      <c r="M112" s="129"/>
    </row>
    <row r="113" spans="1:13" ht="46.2" x14ac:dyDescent="0.85">
      <c r="A113" s="63" t="s">
        <v>157</v>
      </c>
      <c r="B113" s="92"/>
      <c r="C113" s="36" t="s">
        <v>487</v>
      </c>
      <c r="D113" s="42" t="s">
        <v>488</v>
      </c>
      <c r="E113" s="37">
        <v>1</v>
      </c>
      <c r="F113" s="41"/>
      <c r="G113" s="37"/>
      <c r="H113" s="40"/>
      <c r="I113" s="35" t="s">
        <v>489</v>
      </c>
      <c r="J113" s="35"/>
      <c r="K113" s="35"/>
      <c r="L113" s="35"/>
      <c r="M113" s="129"/>
    </row>
    <row r="114" spans="1:13" ht="46.2" x14ac:dyDescent="0.85">
      <c r="A114" s="63" t="s">
        <v>157</v>
      </c>
      <c r="B114" s="92"/>
      <c r="C114" s="36" t="s">
        <v>191</v>
      </c>
      <c r="D114" s="42" t="s">
        <v>273</v>
      </c>
      <c r="E114" s="37">
        <v>3</v>
      </c>
      <c r="F114" s="41"/>
      <c r="G114" s="37"/>
      <c r="H114" s="40"/>
      <c r="I114" s="35"/>
      <c r="J114" s="35"/>
      <c r="K114" s="35"/>
      <c r="L114" s="35"/>
      <c r="M114" s="129"/>
    </row>
    <row r="115" spans="1:13" ht="46.2" x14ac:dyDescent="0.85">
      <c r="A115" s="63" t="s">
        <v>157</v>
      </c>
      <c r="B115" s="92"/>
      <c r="C115" s="36" t="s">
        <v>480</v>
      </c>
      <c r="D115" s="42" t="s">
        <v>481</v>
      </c>
      <c r="E115" s="37">
        <v>3</v>
      </c>
      <c r="F115" s="41"/>
      <c r="G115" s="37"/>
      <c r="H115" s="40"/>
      <c r="I115" s="35"/>
      <c r="J115" s="35"/>
      <c r="K115" s="35"/>
      <c r="L115" s="35"/>
      <c r="M115" s="129"/>
    </row>
    <row r="116" spans="1:13" ht="46.2" x14ac:dyDescent="0.85">
      <c r="A116" s="63" t="s">
        <v>157</v>
      </c>
      <c r="B116" s="92"/>
      <c r="C116" s="36" t="s">
        <v>502</v>
      </c>
      <c r="D116" s="42" t="s">
        <v>503</v>
      </c>
      <c r="E116" s="37">
        <v>1</v>
      </c>
      <c r="F116" s="41"/>
      <c r="G116" s="37"/>
      <c r="H116" s="40"/>
      <c r="I116" s="35"/>
      <c r="J116" s="35"/>
      <c r="K116" s="35"/>
      <c r="L116" s="35"/>
      <c r="M116" s="129"/>
    </row>
    <row r="117" spans="1:13" ht="46.2" x14ac:dyDescent="0.85">
      <c r="A117" s="63" t="s">
        <v>157</v>
      </c>
      <c r="B117" s="92"/>
      <c r="C117" s="36" t="s">
        <v>200</v>
      </c>
      <c r="D117" s="42" t="s">
        <v>234</v>
      </c>
      <c r="E117" s="37">
        <v>2</v>
      </c>
      <c r="F117" s="41">
        <v>35</v>
      </c>
      <c r="G117" s="37"/>
      <c r="H117" s="40"/>
      <c r="I117" s="35"/>
      <c r="J117" s="35"/>
      <c r="K117" s="35"/>
      <c r="L117" s="35"/>
      <c r="M117" s="129"/>
    </row>
    <row r="118" spans="1:13" ht="46.2" x14ac:dyDescent="0.85">
      <c r="A118" s="63" t="s">
        <v>157</v>
      </c>
      <c r="B118" s="92"/>
      <c r="C118" s="36" t="s">
        <v>188</v>
      </c>
      <c r="D118" s="42" t="s">
        <v>415</v>
      </c>
      <c r="E118" s="37">
        <v>1</v>
      </c>
      <c r="F118" s="41"/>
      <c r="G118" s="37">
        <v>8</v>
      </c>
      <c r="H118" s="40"/>
      <c r="I118" s="35"/>
      <c r="J118" s="35"/>
      <c r="K118" s="35"/>
      <c r="L118" s="35"/>
      <c r="M118" s="129"/>
    </row>
    <row r="119" spans="1:13" ht="46.2" x14ac:dyDescent="0.85">
      <c r="A119" s="63" t="s">
        <v>157</v>
      </c>
      <c r="B119" s="92"/>
      <c r="C119" s="36" t="s">
        <v>281</v>
      </c>
      <c r="D119" s="42" t="s">
        <v>499</v>
      </c>
      <c r="E119" s="37">
        <v>1</v>
      </c>
      <c r="F119" s="41"/>
      <c r="G119" s="37"/>
      <c r="H119" s="40"/>
      <c r="I119" s="35" t="s">
        <v>416</v>
      </c>
      <c r="J119" s="35"/>
      <c r="K119" s="35"/>
      <c r="L119" s="35"/>
      <c r="M119" s="129"/>
    </row>
    <row r="120" spans="1:13" ht="46.2" x14ac:dyDescent="0.85">
      <c r="A120" s="63" t="s">
        <v>157</v>
      </c>
      <c r="B120" s="92"/>
      <c r="C120" s="36" t="s">
        <v>236</v>
      </c>
      <c r="D120" s="42" t="s">
        <v>247</v>
      </c>
      <c r="E120" s="37">
        <v>1</v>
      </c>
      <c r="F120" s="41">
        <v>89</v>
      </c>
      <c r="G120" s="37">
        <v>6.7</v>
      </c>
      <c r="H120" s="40"/>
      <c r="I120" s="35"/>
      <c r="J120" s="35"/>
      <c r="K120" s="35"/>
      <c r="L120" s="35"/>
      <c r="M120" s="129"/>
    </row>
    <row r="121" spans="1:13" ht="46.2" x14ac:dyDescent="0.85">
      <c r="A121" s="63" t="s">
        <v>157</v>
      </c>
      <c r="B121" s="92"/>
      <c r="C121" s="36" t="s">
        <v>241</v>
      </c>
      <c r="D121" s="37" t="s">
        <v>280</v>
      </c>
      <c r="E121" s="37">
        <v>1</v>
      </c>
      <c r="F121" s="41">
        <v>140</v>
      </c>
      <c r="G121" s="37">
        <v>19.5</v>
      </c>
      <c r="H121" s="40"/>
      <c r="I121" s="35" t="s">
        <v>504</v>
      </c>
      <c r="J121" s="35"/>
      <c r="K121" s="35"/>
      <c r="L121" s="35"/>
      <c r="M121" s="129"/>
    </row>
    <row r="122" spans="1:13" ht="46.2" x14ac:dyDescent="0.85">
      <c r="A122" s="63" t="s">
        <v>157</v>
      </c>
      <c r="B122" s="92"/>
      <c r="C122" s="36" t="s">
        <v>192</v>
      </c>
      <c r="D122" s="42" t="s">
        <v>248</v>
      </c>
      <c r="E122" s="43">
        <v>1</v>
      </c>
      <c r="F122" s="44">
        <v>66.75</v>
      </c>
      <c r="G122" s="43">
        <v>9.3000000000000007</v>
      </c>
      <c r="H122" s="40"/>
      <c r="I122" s="35"/>
      <c r="J122" s="35"/>
      <c r="K122" s="35"/>
      <c r="L122" s="35"/>
      <c r="M122" s="129"/>
    </row>
    <row r="123" spans="1:13" ht="46.2" x14ac:dyDescent="0.85">
      <c r="A123" s="63"/>
      <c r="B123" s="92"/>
      <c r="C123" s="36" t="s">
        <v>203</v>
      </c>
      <c r="D123" s="37" t="s">
        <v>237</v>
      </c>
      <c r="E123" s="37">
        <v>1</v>
      </c>
      <c r="F123" s="41">
        <v>269</v>
      </c>
      <c r="G123" s="37">
        <v>22.3</v>
      </c>
      <c r="H123" s="40"/>
      <c r="I123" s="35"/>
      <c r="J123" s="35"/>
      <c r="K123" s="35"/>
      <c r="L123" s="35"/>
      <c r="M123" s="129"/>
    </row>
    <row r="124" spans="1:13" ht="46.2" x14ac:dyDescent="0.85">
      <c r="A124" s="63" t="s">
        <v>157</v>
      </c>
      <c r="B124" s="92"/>
      <c r="C124" s="36" t="s">
        <v>193</v>
      </c>
      <c r="D124" s="42" t="s">
        <v>482</v>
      </c>
      <c r="E124" s="37">
        <v>1</v>
      </c>
      <c r="F124" s="41">
        <v>0</v>
      </c>
      <c r="G124" s="37">
        <v>10.8</v>
      </c>
      <c r="H124" s="40"/>
      <c r="I124" s="35"/>
      <c r="J124" s="35"/>
      <c r="K124" s="35"/>
      <c r="L124" s="35"/>
      <c r="M124" s="129"/>
    </row>
    <row r="125" spans="1:13" ht="46.2" x14ac:dyDescent="0.85">
      <c r="A125" s="63" t="s">
        <v>157</v>
      </c>
      <c r="B125" s="92"/>
      <c r="C125" s="36" t="s">
        <v>233</v>
      </c>
      <c r="D125" s="42" t="s">
        <v>232</v>
      </c>
      <c r="E125" s="37">
        <v>1</v>
      </c>
      <c r="F125" s="41">
        <v>175</v>
      </c>
      <c r="G125" s="37">
        <v>18</v>
      </c>
      <c r="H125" s="40"/>
      <c r="I125" s="35"/>
      <c r="J125" s="35"/>
      <c r="K125" s="35"/>
      <c r="L125" s="35"/>
      <c r="M125" s="129"/>
    </row>
    <row r="126" spans="1:13" ht="46.2" x14ac:dyDescent="0.85">
      <c r="A126" s="63" t="s">
        <v>157</v>
      </c>
      <c r="B126" s="92"/>
      <c r="C126" s="36" t="s">
        <v>194</v>
      </c>
      <c r="D126" s="37" t="s">
        <v>149</v>
      </c>
      <c r="E126" s="37">
        <v>1</v>
      </c>
      <c r="F126" s="41">
        <v>120</v>
      </c>
      <c r="G126" s="37">
        <v>18</v>
      </c>
      <c r="H126" s="37"/>
      <c r="I126" s="35"/>
      <c r="J126" s="35"/>
      <c r="K126" s="35"/>
      <c r="L126" s="35"/>
      <c r="M126" s="129"/>
    </row>
    <row r="127" spans="1:13" ht="46.2" x14ac:dyDescent="0.85">
      <c r="A127" s="63" t="s">
        <v>157</v>
      </c>
      <c r="B127" s="92"/>
      <c r="C127" s="36" t="s">
        <v>195</v>
      </c>
      <c r="D127" s="37" t="s">
        <v>152</v>
      </c>
      <c r="E127" s="37">
        <v>1</v>
      </c>
      <c r="F127" s="41">
        <v>215</v>
      </c>
      <c r="G127" s="37">
        <v>17</v>
      </c>
      <c r="H127" s="37"/>
      <c r="I127" s="35"/>
      <c r="J127" s="35"/>
      <c r="K127" s="35"/>
      <c r="L127" s="35"/>
      <c r="M127" s="129"/>
    </row>
    <row r="128" spans="1:13" ht="46.2" x14ac:dyDescent="0.85">
      <c r="A128" s="63" t="s">
        <v>157</v>
      </c>
      <c r="B128" s="92"/>
      <c r="C128" s="36" t="s">
        <v>483</v>
      </c>
      <c r="D128" s="42" t="s">
        <v>238</v>
      </c>
      <c r="E128" s="37">
        <v>1</v>
      </c>
      <c r="F128" s="41">
        <v>59</v>
      </c>
      <c r="G128" s="37">
        <v>2.9</v>
      </c>
      <c r="H128" s="40"/>
      <c r="I128" s="35"/>
      <c r="J128" s="35"/>
      <c r="K128" s="35"/>
      <c r="L128" s="35"/>
      <c r="M128" s="129"/>
    </row>
    <row r="129" spans="1:13" ht="46.2" x14ac:dyDescent="0.85">
      <c r="A129" s="63" t="s">
        <v>157</v>
      </c>
      <c r="B129" s="92"/>
      <c r="C129" s="36" t="s">
        <v>212</v>
      </c>
      <c r="D129" s="42" t="s">
        <v>239</v>
      </c>
      <c r="E129" s="37">
        <v>1</v>
      </c>
      <c r="F129" s="41">
        <v>90</v>
      </c>
      <c r="G129" s="37">
        <v>7.2</v>
      </c>
      <c r="H129" s="40"/>
      <c r="I129" s="35"/>
      <c r="J129" s="35"/>
      <c r="K129" s="35"/>
      <c r="L129" s="35"/>
      <c r="M129" s="129"/>
    </row>
    <row r="130" spans="1:13" ht="46.2" x14ac:dyDescent="0.85">
      <c r="A130" s="63" t="s">
        <v>157</v>
      </c>
      <c r="B130" s="92"/>
      <c r="C130" s="36" t="s">
        <v>282</v>
      </c>
      <c r="D130" s="42" t="s">
        <v>283</v>
      </c>
      <c r="E130" s="37"/>
      <c r="F130" s="41"/>
      <c r="G130" s="37"/>
      <c r="H130" s="40"/>
      <c r="I130" s="35"/>
      <c r="J130" s="35"/>
      <c r="K130" s="35"/>
      <c r="L130" s="35"/>
      <c r="M130" s="129"/>
    </row>
    <row r="131" spans="1:13" ht="46.2" x14ac:dyDescent="0.85">
      <c r="A131" s="63" t="s">
        <v>157</v>
      </c>
      <c r="B131" s="92"/>
      <c r="C131" s="36" t="s">
        <v>196</v>
      </c>
      <c r="D131" s="42" t="s">
        <v>252</v>
      </c>
      <c r="E131" s="37">
        <v>1</v>
      </c>
      <c r="F131" s="41">
        <v>79</v>
      </c>
      <c r="G131" s="37">
        <v>3.5</v>
      </c>
      <c r="H131" s="40"/>
      <c r="I131" s="35"/>
      <c r="J131" s="35"/>
      <c r="K131" s="35"/>
      <c r="L131" s="35"/>
      <c r="M131" s="129"/>
    </row>
    <row r="132" spans="1:13" ht="46.2" x14ac:dyDescent="0.85">
      <c r="A132" s="63" t="s">
        <v>157</v>
      </c>
      <c r="B132" s="100"/>
      <c r="C132" s="66" t="s">
        <v>199</v>
      </c>
      <c r="D132" s="67"/>
      <c r="E132" s="46">
        <v>1</v>
      </c>
      <c r="F132" s="47">
        <v>22.5</v>
      </c>
      <c r="G132" s="46">
        <v>6</v>
      </c>
      <c r="H132" s="48"/>
      <c r="I132" s="35"/>
      <c r="J132" s="35"/>
      <c r="K132" s="35"/>
      <c r="L132" s="35"/>
      <c r="M132" s="129"/>
    </row>
    <row r="133" spans="1:13" ht="46.2" x14ac:dyDescent="0.85">
      <c r="A133" s="63"/>
      <c r="B133" s="133" t="s">
        <v>157</v>
      </c>
      <c r="C133" s="82" t="s">
        <v>376</v>
      </c>
      <c r="D133" s="83"/>
      <c r="E133" s="84">
        <v>2</v>
      </c>
      <c r="F133" s="85"/>
      <c r="G133" s="84"/>
      <c r="H133" s="86"/>
      <c r="I133" s="35" t="s">
        <v>484</v>
      </c>
      <c r="J133" s="35"/>
      <c r="K133" s="35"/>
      <c r="L133" s="35"/>
      <c r="M133" s="129"/>
    </row>
    <row r="134" spans="1:13" ht="46.2" x14ac:dyDescent="0.85">
      <c r="A134" s="63"/>
      <c r="B134" s="132"/>
      <c r="C134" s="49" t="s">
        <v>185</v>
      </c>
      <c r="D134" s="50"/>
      <c r="E134" s="51"/>
      <c r="F134" s="52"/>
      <c r="G134" s="51"/>
      <c r="H134" s="65"/>
      <c r="I134" s="35"/>
      <c r="J134" s="35"/>
      <c r="K134" s="35"/>
      <c r="L134" s="35"/>
      <c r="M134" s="129"/>
    </row>
    <row r="135" spans="1:13" ht="46.2" x14ac:dyDescent="0.85">
      <c r="A135" s="63" t="s">
        <v>157</v>
      </c>
      <c r="B135" s="92"/>
      <c r="C135" s="54" t="s">
        <v>162</v>
      </c>
      <c r="D135" s="37" t="s">
        <v>278</v>
      </c>
      <c r="E135" s="37"/>
      <c r="F135" s="41">
        <v>80</v>
      </c>
      <c r="G135" s="37">
        <v>10</v>
      </c>
      <c r="H135" s="55">
        <f>G135/16</f>
        <v>0.625</v>
      </c>
      <c r="I135" s="35" t="s">
        <v>410</v>
      </c>
      <c r="J135" s="35"/>
      <c r="K135" s="35"/>
      <c r="L135" s="35"/>
      <c r="M135" s="129"/>
    </row>
    <row r="136" spans="1:13" ht="46.2" x14ac:dyDescent="0.85">
      <c r="A136" s="63" t="s">
        <v>157</v>
      </c>
      <c r="B136" s="92"/>
      <c r="C136" s="54" t="s">
        <v>138</v>
      </c>
      <c r="D136" s="37"/>
      <c r="E136" s="37"/>
      <c r="F136" s="37"/>
      <c r="G136" s="37"/>
      <c r="H136" s="37"/>
      <c r="I136" s="35"/>
      <c r="J136" s="35"/>
      <c r="K136" s="35"/>
      <c r="L136" s="35"/>
      <c r="M136" s="129"/>
    </row>
    <row r="137" spans="1:13" ht="46.2" x14ac:dyDescent="0.85">
      <c r="A137" s="63" t="s">
        <v>157</v>
      </c>
      <c r="B137" s="92"/>
      <c r="C137" s="54" t="s">
        <v>137</v>
      </c>
      <c r="D137" s="37"/>
      <c r="E137" s="37"/>
      <c r="F137" s="37"/>
      <c r="G137" s="37"/>
      <c r="H137" s="37"/>
      <c r="I137" s="35"/>
      <c r="J137" s="35"/>
      <c r="K137" s="35"/>
      <c r="L137" s="35"/>
      <c r="M137" s="129"/>
    </row>
    <row r="138" spans="1:13" ht="46.2" x14ac:dyDescent="0.85">
      <c r="A138" s="63"/>
      <c r="B138" s="92"/>
      <c r="C138" s="70" t="s">
        <v>284</v>
      </c>
      <c r="D138" s="37"/>
      <c r="E138" s="37">
        <v>2</v>
      </c>
      <c r="F138" s="37"/>
      <c r="G138" s="37"/>
      <c r="H138" s="37"/>
      <c r="I138" s="35" t="s">
        <v>485</v>
      </c>
      <c r="J138" s="35"/>
      <c r="K138" s="35"/>
      <c r="L138" s="35"/>
      <c r="M138" s="129"/>
    </row>
    <row r="139" spans="1:13" ht="46.2" x14ac:dyDescent="0.85">
      <c r="A139" s="63"/>
      <c r="B139" s="92"/>
      <c r="C139" s="54" t="s">
        <v>213</v>
      </c>
      <c r="D139" s="37"/>
      <c r="E139" s="37"/>
      <c r="F139" s="41"/>
      <c r="G139" s="37"/>
      <c r="H139" s="40"/>
      <c r="I139" s="35"/>
      <c r="J139" s="35"/>
      <c r="K139" s="35"/>
      <c r="L139" s="35"/>
      <c r="M139" s="129"/>
    </row>
    <row r="140" spans="1:13" ht="46.2" x14ac:dyDescent="0.85">
      <c r="A140" s="63"/>
      <c r="B140" s="92"/>
      <c r="C140" s="54" t="s">
        <v>214</v>
      </c>
      <c r="D140" s="37"/>
      <c r="E140" s="37"/>
      <c r="F140" s="41"/>
      <c r="G140" s="37"/>
      <c r="H140" s="40"/>
      <c r="I140" s="35"/>
      <c r="J140" s="35"/>
      <c r="K140" s="35"/>
      <c r="L140" s="35"/>
      <c r="M140" s="129"/>
    </row>
    <row r="141" spans="1:13" ht="46.2" x14ac:dyDescent="0.85">
      <c r="A141" s="63"/>
      <c r="B141" s="92"/>
      <c r="C141" s="54" t="s">
        <v>215</v>
      </c>
      <c r="D141" s="37"/>
      <c r="E141" s="37">
        <v>4</v>
      </c>
      <c r="F141" s="41"/>
      <c r="G141" s="37"/>
      <c r="H141" s="40"/>
      <c r="I141" s="35"/>
      <c r="J141" s="35"/>
      <c r="K141" s="35"/>
      <c r="L141" s="35"/>
      <c r="M141" s="129"/>
    </row>
    <row r="142" spans="1:13" ht="46.2" x14ac:dyDescent="0.85">
      <c r="A142" s="63"/>
      <c r="B142" s="92"/>
      <c r="C142" s="49" t="s">
        <v>567</v>
      </c>
      <c r="D142" s="37"/>
      <c r="E142" s="37"/>
      <c r="F142" s="41"/>
      <c r="G142" s="37"/>
      <c r="H142" s="55"/>
      <c r="I142" s="35"/>
      <c r="J142" s="35"/>
      <c r="K142" s="35"/>
      <c r="L142" s="35"/>
      <c r="M142" s="129"/>
    </row>
    <row r="143" spans="1:13" ht="46.2" x14ac:dyDescent="0.85">
      <c r="A143" s="63"/>
      <c r="B143" s="92"/>
      <c r="C143" s="54" t="s">
        <v>568</v>
      </c>
      <c r="D143" s="37" t="s">
        <v>569</v>
      </c>
      <c r="E143" s="37">
        <v>1</v>
      </c>
      <c r="F143" s="37"/>
      <c r="G143" s="37"/>
      <c r="H143" s="37"/>
      <c r="I143" s="35"/>
      <c r="J143" s="35"/>
      <c r="K143" s="35"/>
      <c r="L143" s="35"/>
      <c r="M143" s="129"/>
    </row>
    <row r="144" spans="1:13" ht="46.2" x14ac:dyDescent="0.85">
      <c r="A144" s="63"/>
      <c r="B144" s="92"/>
      <c r="C144" s="54" t="s">
        <v>570</v>
      </c>
      <c r="D144" s="37"/>
      <c r="E144" s="37"/>
      <c r="F144" s="37"/>
      <c r="G144" s="37"/>
      <c r="H144" s="37"/>
      <c r="I144" s="35"/>
      <c r="J144" s="35"/>
      <c r="K144" s="35"/>
      <c r="L144" s="35"/>
      <c r="M144" s="129"/>
    </row>
    <row r="145" spans="1:13" ht="46.2" x14ac:dyDescent="0.85">
      <c r="A145" s="63"/>
      <c r="B145" s="92"/>
      <c r="C145" s="70" t="s">
        <v>571</v>
      </c>
      <c r="D145" s="37"/>
      <c r="E145" s="37"/>
      <c r="F145" s="37"/>
      <c r="G145" s="37"/>
      <c r="H145" s="37"/>
      <c r="I145" s="35"/>
      <c r="J145" s="35"/>
      <c r="K145" s="35"/>
      <c r="L145" s="35"/>
      <c r="M145" s="129"/>
    </row>
    <row r="146" spans="1:13" ht="46.2" x14ac:dyDescent="0.85">
      <c r="A146" s="63"/>
      <c r="B146" s="92"/>
      <c r="C146" s="54" t="s">
        <v>572</v>
      </c>
      <c r="D146" s="37"/>
      <c r="E146" s="37"/>
      <c r="F146" s="37"/>
      <c r="G146" s="37"/>
      <c r="H146" s="37"/>
      <c r="I146" s="35"/>
      <c r="J146" s="35"/>
      <c r="K146" s="35"/>
      <c r="L146" s="35"/>
      <c r="M146" s="129"/>
    </row>
    <row r="147" spans="1:13" ht="46.2" x14ac:dyDescent="0.85">
      <c r="A147" s="63"/>
      <c r="B147" s="92"/>
      <c r="C147" s="54" t="s">
        <v>573</v>
      </c>
      <c r="D147" s="37"/>
      <c r="E147" s="37"/>
      <c r="F147" s="37"/>
      <c r="G147" s="37"/>
      <c r="H147" s="37"/>
      <c r="I147" s="35"/>
      <c r="J147" s="35"/>
      <c r="K147" s="35"/>
      <c r="L147" s="35"/>
      <c r="M147" s="129"/>
    </row>
    <row r="148" spans="1:13" ht="46.2" x14ac:dyDescent="0.85">
      <c r="A148" s="63"/>
      <c r="B148" s="92"/>
      <c r="C148" s="54" t="s">
        <v>574</v>
      </c>
      <c r="D148" s="37"/>
      <c r="E148" s="37"/>
      <c r="F148" s="37"/>
      <c r="G148" s="37"/>
      <c r="H148" s="37"/>
      <c r="I148" s="35"/>
      <c r="J148" s="35"/>
      <c r="K148" s="35"/>
      <c r="L148" s="35"/>
      <c r="M148" s="129"/>
    </row>
    <row r="149" spans="1:13" ht="46.2" x14ac:dyDescent="0.85">
      <c r="A149" s="63"/>
      <c r="B149" s="92"/>
      <c r="C149" s="70" t="s">
        <v>575</v>
      </c>
      <c r="D149" s="37"/>
      <c r="E149" s="37"/>
      <c r="F149" s="37"/>
      <c r="G149" s="37"/>
      <c r="H149" s="37"/>
      <c r="I149" s="35"/>
      <c r="J149" s="35"/>
      <c r="K149" s="35"/>
      <c r="L149" s="35"/>
      <c r="M149" s="129"/>
    </row>
    <row r="150" spans="1:13" ht="46.2" x14ac:dyDescent="0.85">
      <c r="A150" s="63"/>
      <c r="B150" s="92"/>
      <c r="C150" s="54" t="s">
        <v>576</v>
      </c>
      <c r="D150" s="37"/>
      <c r="E150" s="37"/>
      <c r="F150" s="41"/>
      <c r="G150" s="37"/>
      <c r="H150" s="40"/>
      <c r="I150" s="35"/>
      <c r="J150" s="35"/>
      <c r="K150" s="35"/>
      <c r="L150" s="35"/>
      <c r="M150" s="129"/>
    </row>
    <row r="151" spans="1:13" ht="46.2" x14ac:dyDescent="0.85">
      <c r="A151" s="63"/>
      <c r="B151" s="92"/>
      <c r="C151" s="54"/>
      <c r="D151" s="37"/>
      <c r="E151" s="37"/>
      <c r="F151" s="41"/>
      <c r="G151" s="37"/>
      <c r="H151" s="40"/>
      <c r="I151" s="35"/>
      <c r="J151" s="35"/>
      <c r="K151" s="35"/>
      <c r="L151" s="35"/>
      <c r="M151" s="129"/>
    </row>
    <row r="152" spans="1:13" ht="46.2" x14ac:dyDescent="0.85">
      <c r="A152" s="63"/>
      <c r="B152" s="92"/>
      <c r="C152" s="54"/>
      <c r="D152" s="37"/>
      <c r="E152" s="37"/>
      <c r="F152" s="41"/>
      <c r="G152" s="37"/>
      <c r="H152" s="40"/>
      <c r="I152" s="35"/>
      <c r="J152" s="35"/>
      <c r="K152" s="35"/>
      <c r="L152" s="35"/>
      <c r="M152" s="129"/>
    </row>
    <row r="153" spans="1:13" ht="46.2" x14ac:dyDescent="0.85">
      <c r="A153" s="63"/>
      <c r="B153" s="134"/>
      <c r="C153" s="61" t="s">
        <v>186</v>
      </c>
      <c r="D153" s="50"/>
      <c r="E153" s="51"/>
      <c r="F153" s="52"/>
      <c r="G153" s="51"/>
      <c r="H153" s="53"/>
      <c r="I153" s="35"/>
      <c r="J153" s="35"/>
      <c r="K153" s="35"/>
      <c r="L153" s="35"/>
      <c r="M153" s="129"/>
    </row>
    <row r="154" spans="1:13" ht="46.2" x14ac:dyDescent="0.85">
      <c r="A154" s="63"/>
      <c r="B154" s="135"/>
      <c r="C154" s="60" t="s">
        <v>243</v>
      </c>
      <c r="D154" s="37" t="s">
        <v>242</v>
      </c>
      <c r="E154" s="37"/>
      <c r="F154" s="41"/>
      <c r="G154" s="37"/>
      <c r="H154" s="55"/>
      <c r="I154" s="35"/>
      <c r="J154" s="35"/>
      <c r="K154" s="35"/>
      <c r="L154" s="35"/>
      <c r="M154" s="129"/>
    </row>
    <row r="155" spans="1:13" ht="46.2" x14ac:dyDescent="0.85">
      <c r="A155" s="63"/>
      <c r="B155" s="135"/>
      <c r="C155" s="60" t="s">
        <v>74</v>
      </c>
      <c r="D155" s="37"/>
      <c r="E155" s="37"/>
      <c r="F155" s="41">
        <v>229</v>
      </c>
      <c r="G155" s="37">
        <v>122</v>
      </c>
      <c r="H155" s="55">
        <f>G155/16</f>
        <v>7.625</v>
      </c>
      <c r="I155" s="35"/>
      <c r="J155" s="35"/>
      <c r="K155" s="35"/>
      <c r="L155" s="35"/>
      <c r="M155" s="129"/>
    </row>
    <row r="156" spans="1:13" ht="46.2" x14ac:dyDescent="0.85">
      <c r="A156" s="63"/>
      <c r="B156" s="135"/>
      <c r="C156" s="60" t="s">
        <v>73</v>
      </c>
      <c r="D156" s="37"/>
      <c r="E156" s="37"/>
      <c r="F156" s="41">
        <v>39.950000000000003</v>
      </c>
      <c r="G156" s="37">
        <v>16.600000000000001</v>
      </c>
      <c r="H156" s="55">
        <f>G156/16</f>
        <v>1.0375000000000001</v>
      </c>
      <c r="I156" s="35"/>
      <c r="J156" s="35"/>
      <c r="K156" s="35"/>
      <c r="L156" s="35"/>
      <c r="M156" s="129"/>
    </row>
    <row r="157" spans="1:13" ht="46.2" x14ac:dyDescent="0.85">
      <c r="A157" s="63"/>
      <c r="B157" s="135"/>
      <c r="C157" s="60" t="s">
        <v>78</v>
      </c>
      <c r="D157" s="37"/>
      <c r="E157" s="37"/>
      <c r="F157" s="41"/>
      <c r="G157" s="37"/>
      <c r="H157" s="55">
        <f>G157/16</f>
        <v>0</v>
      </c>
      <c r="I157" s="35"/>
      <c r="J157" s="35"/>
      <c r="K157" s="35"/>
      <c r="L157" s="35"/>
      <c r="M157" s="129"/>
    </row>
    <row r="158" spans="1:13" ht="46.2" x14ac:dyDescent="0.85">
      <c r="A158" s="63"/>
      <c r="B158" s="135"/>
      <c r="C158" s="60" t="s">
        <v>133</v>
      </c>
      <c r="D158" s="37"/>
      <c r="E158" s="37"/>
      <c r="F158" s="41"/>
      <c r="G158" s="37"/>
      <c r="H158" s="55"/>
      <c r="I158" s="35"/>
      <c r="J158" s="35"/>
      <c r="K158" s="35"/>
      <c r="L158" s="35"/>
      <c r="M158" s="129"/>
    </row>
    <row r="159" spans="1:13" ht="231" x14ac:dyDescent="0.85">
      <c r="A159" s="63"/>
      <c r="B159" s="135"/>
      <c r="C159" s="62" t="s">
        <v>158</v>
      </c>
      <c r="D159" s="45"/>
      <c r="E159" s="45"/>
      <c r="F159" s="41"/>
      <c r="G159" s="37"/>
      <c r="H159" s="55"/>
      <c r="I159" s="35"/>
      <c r="J159" s="35"/>
      <c r="K159" s="35"/>
      <c r="L159" s="35"/>
      <c r="M159" s="129"/>
    </row>
    <row r="160" spans="1:13" ht="184.8" x14ac:dyDescent="0.85">
      <c r="A160" s="63"/>
      <c r="B160" s="135"/>
      <c r="C160" s="62" t="s">
        <v>129</v>
      </c>
      <c r="D160" s="45"/>
      <c r="E160" s="45"/>
      <c r="F160" s="41"/>
      <c r="G160" s="37"/>
      <c r="H160" s="55"/>
      <c r="I160" s="35"/>
      <c r="J160" s="35"/>
      <c r="K160" s="35"/>
      <c r="L160" s="35"/>
      <c r="M160" s="129"/>
    </row>
    <row r="161" spans="1:19" ht="46.2" x14ac:dyDescent="0.85">
      <c r="A161" s="63"/>
      <c r="B161" s="135"/>
      <c r="C161" s="60" t="s">
        <v>136</v>
      </c>
      <c r="D161" s="37"/>
      <c r="E161" s="37"/>
      <c r="F161" s="41"/>
      <c r="G161" s="37"/>
      <c r="H161" s="55"/>
      <c r="I161" s="35"/>
      <c r="J161" s="35"/>
      <c r="K161" s="35"/>
      <c r="L161" s="35"/>
      <c r="M161" s="129"/>
    </row>
    <row r="162" spans="1:19" ht="46.2" x14ac:dyDescent="0.85">
      <c r="A162" s="63"/>
      <c r="B162" s="135"/>
      <c r="C162" s="60" t="s">
        <v>259</v>
      </c>
      <c r="D162" s="37"/>
      <c r="E162" s="37"/>
      <c r="F162" s="41"/>
      <c r="G162" s="37"/>
      <c r="H162" s="55"/>
      <c r="I162" s="35"/>
      <c r="J162" s="35"/>
      <c r="K162" s="35"/>
      <c r="L162" s="35"/>
      <c r="M162" s="129"/>
    </row>
    <row r="163" spans="1:19" ht="46.2" x14ac:dyDescent="0.85">
      <c r="A163" s="63"/>
      <c r="B163" s="135"/>
      <c r="C163" s="60" t="s">
        <v>260</v>
      </c>
      <c r="D163" s="37"/>
      <c r="E163" s="37"/>
      <c r="F163" s="41"/>
      <c r="G163" s="37"/>
      <c r="H163" s="55"/>
      <c r="I163" s="35"/>
      <c r="J163" s="35"/>
      <c r="K163" s="35"/>
      <c r="L163" s="35"/>
      <c r="M163" s="129"/>
    </row>
    <row r="164" spans="1:19" ht="46.2" x14ac:dyDescent="0.85">
      <c r="A164" s="63"/>
      <c r="B164" s="135"/>
      <c r="C164" s="60" t="s">
        <v>117</v>
      </c>
      <c r="D164" s="37"/>
      <c r="E164" s="37"/>
      <c r="F164" s="41">
        <v>89.95</v>
      </c>
      <c r="G164" s="37">
        <v>12.4</v>
      </c>
      <c r="H164" s="55">
        <f>G164/16</f>
        <v>0.77500000000000002</v>
      </c>
      <c r="I164" s="35"/>
      <c r="J164" s="35"/>
      <c r="K164" s="35"/>
      <c r="L164" s="35"/>
      <c r="M164" s="129"/>
    </row>
    <row r="165" spans="1:19" ht="138.6" x14ac:dyDescent="0.85">
      <c r="A165" s="63"/>
      <c r="B165" s="135"/>
      <c r="C165" s="62" t="s">
        <v>154</v>
      </c>
      <c r="D165" s="37"/>
      <c r="E165" s="37"/>
      <c r="F165" s="37"/>
      <c r="G165" s="37"/>
      <c r="H165" s="55"/>
      <c r="I165" s="35"/>
      <c r="J165" s="35"/>
      <c r="K165" s="35"/>
      <c r="L165" s="35"/>
      <c r="M165" s="129"/>
    </row>
    <row r="166" spans="1:19" ht="46.2" x14ac:dyDescent="0.85">
      <c r="A166" s="63"/>
      <c r="B166" s="135"/>
      <c r="C166" s="60" t="s">
        <v>86</v>
      </c>
      <c r="D166" s="37"/>
      <c r="E166" s="37"/>
      <c r="F166" s="41">
        <v>800</v>
      </c>
      <c r="G166" s="37">
        <v>45</v>
      </c>
      <c r="H166" s="55">
        <f>G166/16</f>
        <v>2.8125</v>
      </c>
      <c r="I166" s="35"/>
      <c r="J166" s="35"/>
      <c r="K166" s="35"/>
      <c r="L166" s="35"/>
      <c r="M166" s="129"/>
    </row>
    <row r="167" spans="1:19" ht="46.2" x14ac:dyDescent="0.85">
      <c r="A167" s="63"/>
      <c r="B167" s="135"/>
      <c r="C167" s="60" t="s">
        <v>87</v>
      </c>
      <c r="D167" s="37"/>
      <c r="E167" s="37"/>
      <c r="F167" s="41">
        <v>150</v>
      </c>
      <c r="G167" s="37">
        <v>16</v>
      </c>
      <c r="H167" s="55">
        <f>G167/16</f>
        <v>1</v>
      </c>
      <c r="I167" s="35"/>
      <c r="J167" s="35"/>
      <c r="K167" s="35"/>
      <c r="L167" s="35"/>
      <c r="M167" s="129"/>
    </row>
    <row r="168" spans="1:19" ht="46.2" x14ac:dyDescent="0.85">
      <c r="A168" s="63"/>
      <c r="B168" s="135"/>
      <c r="C168" s="60" t="s">
        <v>88</v>
      </c>
      <c r="D168" s="37"/>
      <c r="E168" s="37"/>
      <c r="F168" s="41"/>
      <c r="G168" s="37">
        <v>6</v>
      </c>
      <c r="H168" s="55">
        <f>G168/16</f>
        <v>0.375</v>
      </c>
      <c r="I168" s="35"/>
      <c r="J168" s="35"/>
      <c r="K168" s="35"/>
      <c r="L168" s="35"/>
      <c r="M168" s="129"/>
    </row>
    <row r="169" spans="1:19" ht="46.2" x14ac:dyDescent="0.85">
      <c r="A169" s="64"/>
      <c r="B169" s="136"/>
      <c r="C169" s="111" t="s">
        <v>70</v>
      </c>
      <c r="D169" s="46"/>
      <c r="E169" s="46"/>
      <c r="F169" s="47">
        <f>SUM(F14:F168)</f>
        <v>4614</v>
      </c>
      <c r="G169" s="46">
        <f>SUM(G14:G167)</f>
        <v>960.0899999999998</v>
      </c>
      <c r="H169" s="96" t="e">
        <f>SUM(H14:H167)</f>
        <v>#VALUE!</v>
      </c>
      <c r="I169" s="35"/>
      <c r="J169" s="35"/>
      <c r="K169" s="35"/>
      <c r="L169" s="35"/>
      <c r="M169" s="129"/>
    </row>
    <row r="170" spans="1:19" ht="409.6" x14ac:dyDescent="0.85">
      <c r="A170" s="106"/>
      <c r="B170" s="137"/>
      <c r="C170" s="113" t="s">
        <v>102</v>
      </c>
      <c r="D170" s="101"/>
      <c r="E170" s="102" t="s">
        <v>509</v>
      </c>
      <c r="F170" s="103"/>
      <c r="G170" s="102" t="s">
        <v>508</v>
      </c>
      <c r="H170" s="103" t="s">
        <v>513</v>
      </c>
      <c r="I170" s="103" t="s">
        <v>522</v>
      </c>
      <c r="J170" s="102" t="s">
        <v>510</v>
      </c>
      <c r="K170" s="103" t="s">
        <v>511</v>
      </c>
      <c r="L170" s="102" t="s">
        <v>512</v>
      </c>
      <c r="M170" s="114" t="s">
        <v>201</v>
      </c>
      <c r="N170" s="120" t="s">
        <v>514</v>
      </c>
      <c r="O170" s="102" t="s">
        <v>515</v>
      </c>
      <c r="P170" s="102" t="s">
        <v>516</v>
      </c>
      <c r="Q170" s="115" t="s">
        <v>517</v>
      </c>
      <c r="R170" s="115" t="s">
        <v>526</v>
      </c>
      <c r="S170" s="115" t="s">
        <v>527</v>
      </c>
    </row>
    <row r="171" spans="1:19" ht="46.2" x14ac:dyDescent="0.85">
      <c r="A171" s="107"/>
      <c r="B171" s="135" t="s">
        <v>157</v>
      </c>
      <c r="C171" s="54" t="s">
        <v>580</v>
      </c>
      <c r="D171" s="37" t="s">
        <v>589</v>
      </c>
      <c r="E171" s="104">
        <v>2</v>
      </c>
      <c r="F171" s="105"/>
      <c r="G171" s="104">
        <v>490</v>
      </c>
      <c r="H171" s="112">
        <f>6.35/2</f>
        <v>3.1749999999999998</v>
      </c>
      <c r="I171" s="121">
        <f t="shared" ref="I171:I179" si="1">G171/H171</f>
        <v>154.33070866141733</v>
      </c>
      <c r="J171" s="104">
        <v>29</v>
      </c>
      <c r="K171" s="112">
        <v>29</v>
      </c>
      <c r="L171" s="104">
        <v>25</v>
      </c>
      <c r="M171" s="104">
        <v>6</v>
      </c>
      <c r="N171" s="122">
        <f t="shared" ref="N171:N177" si="2">M171*(E171*G171)</f>
        <v>5880</v>
      </c>
      <c r="O171" s="122">
        <f>J171*$E171*$M171</f>
        <v>348</v>
      </c>
      <c r="P171" s="122">
        <f>K171*$E171*$M171</f>
        <v>348</v>
      </c>
      <c r="Q171" s="128">
        <f>L171*$E171*$M171</f>
        <v>300</v>
      </c>
      <c r="R171" s="128">
        <f>M171*E171*H171</f>
        <v>38.099999999999994</v>
      </c>
      <c r="S171" s="127">
        <f>R171/16</f>
        <v>2.3812499999999996</v>
      </c>
    </row>
    <row r="172" spans="1:19" ht="46.2" x14ac:dyDescent="0.85">
      <c r="A172" s="107"/>
      <c r="B172" s="135" t="s">
        <v>157</v>
      </c>
      <c r="C172" s="54" t="s">
        <v>590</v>
      </c>
      <c r="D172" s="37" t="s">
        <v>591</v>
      </c>
      <c r="E172" s="104">
        <v>2</v>
      </c>
      <c r="F172" s="105"/>
      <c r="G172" s="104">
        <v>370</v>
      </c>
      <c r="H172" s="112">
        <f>6.06/2</f>
        <v>3.03</v>
      </c>
      <c r="I172" s="121">
        <f t="shared" si="1"/>
        <v>122.11221122112212</v>
      </c>
      <c r="J172" s="104">
        <v>6</v>
      </c>
      <c r="K172" s="112">
        <v>59</v>
      </c>
      <c r="L172" s="104">
        <v>20</v>
      </c>
      <c r="M172" s="104">
        <v>7</v>
      </c>
      <c r="N172" s="122">
        <f t="shared" si="2"/>
        <v>5180</v>
      </c>
      <c r="O172" s="122">
        <f t="shared" ref="O172:O188" si="3">J172*$E172*$M172</f>
        <v>84</v>
      </c>
      <c r="P172" s="122">
        <f t="shared" ref="P172:Q186" si="4">K172*$E172*$M172</f>
        <v>826</v>
      </c>
      <c r="Q172" s="128">
        <f t="shared" si="4"/>
        <v>280</v>
      </c>
      <c r="R172" s="128">
        <f t="shared" ref="R172:R188" si="5">M172*E172*H172</f>
        <v>42.419999999999995</v>
      </c>
      <c r="S172" s="127">
        <f t="shared" ref="S172:S188" si="6">R172/16</f>
        <v>2.6512499999999997</v>
      </c>
    </row>
    <row r="173" spans="1:19" ht="46.2" x14ac:dyDescent="0.85">
      <c r="A173" s="107"/>
      <c r="B173" s="135" t="s">
        <v>157</v>
      </c>
      <c r="C173" s="54" t="s">
        <v>581</v>
      </c>
      <c r="D173" s="37" t="s">
        <v>592</v>
      </c>
      <c r="E173" s="104">
        <v>2</v>
      </c>
      <c r="F173" s="105"/>
      <c r="G173" s="104">
        <v>430</v>
      </c>
      <c r="H173" s="112">
        <f>4.97/2</f>
        <v>2.4849999999999999</v>
      </c>
      <c r="I173" s="121">
        <f t="shared" si="1"/>
        <v>173.03822937625756</v>
      </c>
      <c r="J173" s="104">
        <v>24</v>
      </c>
      <c r="K173" s="112">
        <v>27</v>
      </c>
      <c r="L173" s="104">
        <v>26</v>
      </c>
      <c r="M173" s="104">
        <v>6</v>
      </c>
      <c r="N173" s="122">
        <f t="shared" si="2"/>
        <v>5160</v>
      </c>
      <c r="O173" s="122">
        <f t="shared" si="3"/>
        <v>288</v>
      </c>
      <c r="P173" s="122">
        <f t="shared" si="4"/>
        <v>324</v>
      </c>
      <c r="Q173" s="128">
        <f t="shared" si="4"/>
        <v>312</v>
      </c>
      <c r="R173" s="128">
        <f t="shared" si="5"/>
        <v>29.82</v>
      </c>
      <c r="S173" s="127">
        <f t="shared" si="6"/>
        <v>1.86375</v>
      </c>
    </row>
    <row r="174" spans="1:19" ht="46.2" x14ac:dyDescent="0.85">
      <c r="A174" s="107"/>
      <c r="B174" s="135" t="s">
        <v>157</v>
      </c>
      <c r="C174" s="54" t="s">
        <v>582</v>
      </c>
      <c r="D174" s="37" t="s">
        <v>593</v>
      </c>
      <c r="E174" s="104">
        <v>2</v>
      </c>
      <c r="F174" s="105"/>
      <c r="G174" s="104">
        <v>460</v>
      </c>
      <c r="H174" s="112">
        <f>5.71/2</f>
        <v>2.855</v>
      </c>
      <c r="I174" s="121">
        <f t="shared" si="1"/>
        <v>161.12084063047286</v>
      </c>
      <c r="J174" s="104">
        <v>32</v>
      </c>
      <c r="K174" s="112">
        <v>21</v>
      </c>
      <c r="L174" s="104">
        <v>22</v>
      </c>
      <c r="M174" s="104">
        <v>6</v>
      </c>
      <c r="N174" s="122">
        <f t="shared" si="2"/>
        <v>5520</v>
      </c>
      <c r="O174" s="122">
        <f t="shared" si="3"/>
        <v>384</v>
      </c>
      <c r="P174" s="122">
        <f t="shared" si="4"/>
        <v>252</v>
      </c>
      <c r="Q174" s="128">
        <f t="shared" si="4"/>
        <v>264</v>
      </c>
      <c r="R174" s="128">
        <f t="shared" si="5"/>
        <v>34.26</v>
      </c>
      <c r="S174" s="127">
        <f t="shared" si="6"/>
        <v>2.1412499999999999</v>
      </c>
    </row>
    <row r="175" spans="1:19" ht="46.2" x14ac:dyDescent="0.85">
      <c r="A175" s="107"/>
      <c r="B175" s="135" t="s">
        <v>157</v>
      </c>
      <c r="C175" s="54" t="s">
        <v>583</v>
      </c>
      <c r="D175" s="37" t="s">
        <v>591</v>
      </c>
      <c r="E175" s="104">
        <v>2</v>
      </c>
      <c r="F175" s="105"/>
      <c r="G175" s="104">
        <v>280</v>
      </c>
      <c r="H175" s="112">
        <f>4.2/2</f>
        <v>2.1</v>
      </c>
      <c r="I175" s="121">
        <f t="shared" si="1"/>
        <v>133.33333333333331</v>
      </c>
      <c r="J175" s="104">
        <v>10</v>
      </c>
      <c r="K175" s="112">
        <v>30</v>
      </c>
      <c r="L175" s="104">
        <v>18</v>
      </c>
      <c r="M175" s="104">
        <v>9</v>
      </c>
      <c r="N175" s="122">
        <f t="shared" si="2"/>
        <v>5040</v>
      </c>
      <c r="O175" s="122">
        <f t="shared" si="3"/>
        <v>180</v>
      </c>
      <c r="P175" s="122">
        <f t="shared" si="4"/>
        <v>540</v>
      </c>
      <c r="Q175" s="128">
        <f t="shared" si="4"/>
        <v>324</v>
      </c>
      <c r="R175" s="128">
        <f t="shared" si="5"/>
        <v>37.800000000000004</v>
      </c>
      <c r="S175" s="127">
        <f t="shared" si="6"/>
        <v>2.3625000000000003</v>
      </c>
    </row>
    <row r="176" spans="1:19" ht="46.2" x14ac:dyDescent="0.85">
      <c r="A176" s="107"/>
      <c r="B176" s="135" t="s">
        <v>157</v>
      </c>
      <c r="C176" s="54" t="s">
        <v>584</v>
      </c>
      <c r="D176" s="37" t="s">
        <v>594</v>
      </c>
      <c r="E176" s="104">
        <v>2</v>
      </c>
      <c r="F176" s="105"/>
      <c r="G176" s="104">
        <v>260</v>
      </c>
      <c r="H176" s="112">
        <f>3.7/2</f>
        <v>1.85</v>
      </c>
      <c r="I176" s="121">
        <f t="shared" si="1"/>
        <v>140.54054054054055</v>
      </c>
      <c r="J176" s="104">
        <v>12</v>
      </c>
      <c r="K176" s="112">
        <v>23</v>
      </c>
      <c r="L176" s="104">
        <v>14</v>
      </c>
      <c r="M176" s="104">
        <v>11</v>
      </c>
      <c r="N176" s="122">
        <f t="shared" si="2"/>
        <v>5720</v>
      </c>
      <c r="O176" s="122">
        <f t="shared" si="3"/>
        <v>264</v>
      </c>
      <c r="P176" s="122">
        <f t="shared" si="4"/>
        <v>506</v>
      </c>
      <c r="Q176" s="128">
        <f t="shared" si="4"/>
        <v>308</v>
      </c>
      <c r="R176" s="128">
        <f t="shared" si="5"/>
        <v>40.700000000000003</v>
      </c>
      <c r="S176" s="127">
        <f t="shared" si="6"/>
        <v>2.5437500000000002</v>
      </c>
    </row>
    <row r="177" spans="1:19" ht="46.2" x14ac:dyDescent="0.85">
      <c r="A177" s="107"/>
      <c r="B177" s="135" t="s">
        <v>157</v>
      </c>
      <c r="C177" s="54" t="s">
        <v>585</v>
      </c>
      <c r="D177" s="37" t="s">
        <v>589</v>
      </c>
      <c r="E177" s="104">
        <v>2</v>
      </c>
      <c r="F177" s="105"/>
      <c r="G177" s="104">
        <v>570</v>
      </c>
      <c r="H177" s="112">
        <f>6.77/2</f>
        <v>3.3849999999999998</v>
      </c>
      <c r="I177" s="121">
        <f t="shared" si="1"/>
        <v>168.38995568685377</v>
      </c>
      <c r="J177" s="104">
        <v>45</v>
      </c>
      <c r="K177" s="112">
        <v>27</v>
      </c>
      <c r="L177" s="104">
        <v>18</v>
      </c>
      <c r="M177" s="104">
        <v>11</v>
      </c>
      <c r="N177" s="122">
        <f t="shared" si="2"/>
        <v>12540</v>
      </c>
      <c r="O177" s="122">
        <f t="shared" si="3"/>
        <v>990</v>
      </c>
      <c r="P177" s="122">
        <f t="shared" si="4"/>
        <v>594</v>
      </c>
      <c r="Q177" s="128">
        <f t="shared" si="4"/>
        <v>396</v>
      </c>
      <c r="R177" s="128">
        <f t="shared" si="5"/>
        <v>74.47</v>
      </c>
      <c r="S177" s="127">
        <f t="shared" si="6"/>
        <v>4.6543749999999999</v>
      </c>
    </row>
    <row r="178" spans="1:19" ht="46.2" x14ac:dyDescent="0.85">
      <c r="A178" s="107"/>
      <c r="B178" s="135"/>
      <c r="C178" s="54" t="s">
        <v>586</v>
      </c>
      <c r="D178" s="37"/>
      <c r="E178" s="104">
        <v>7</v>
      </c>
      <c r="F178" s="105"/>
      <c r="G178" s="104">
        <v>200</v>
      </c>
      <c r="H178" s="112">
        <f>9.5/E178</f>
        <v>1.3571428571428572</v>
      </c>
      <c r="I178" s="121">
        <f t="shared" si="1"/>
        <v>147.36842105263156</v>
      </c>
      <c r="J178" s="104">
        <v>10</v>
      </c>
      <c r="K178" s="112">
        <v>26</v>
      </c>
      <c r="L178" s="104">
        <v>1</v>
      </c>
      <c r="M178" s="104">
        <v>4</v>
      </c>
      <c r="N178" s="122">
        <f t="shared" ref="N178:N188" si="7">M178*(E178*G178)</f>
        <v>5600</v>
      </c>
      <c r="O178" s="122">
        <f t="shared" si="3"/>
        <v>280</v>
      </c>
      <c r="P178" s="122">
        <f t="shared" si="4"/>
        <v>728</v>
      </c>
      <c r="Q178" s="128">
        <f t="shared" si="4"/>
        <v>28</v>
      </c>
      <c r="R178" s="128">
        <f t="shared" si="5"/>
        <v>38</v>
      </c>
      <c r="S178" s="127">
        <f t="shared" si="6"/>
        <v>2.375</v>
      </c>
    </row>
    <row r="179" spans="1:19" ht="46.2" x14ac:dyDescent="0.85">
      <c r="A179" s="107"/>
      <c r="B179" s="135"/>
      <c r="C179" s="54" t="s">
        <v>587</v>
      </c>
      <c r="D179" s="37"/>
      <c r="E179" s="104">
        <v>17</v>
      </c>
      <c r="F179" s="105"/>
      <c r="G179" s="104">
        <v>150</v>
      </c>
      <c r="H179" s="112">
        <f>18/E179</f>
        <v>1.0588235294117647</v>
      </c>
      <c r="I179" s="121">
        <f t="shared" si="1"/>
        <v>141.66666666666666</v>
      </c>
      <c r="J179" s="104">
        <v>8</v>
      </c>
      <c r="K179" s="112">
        <v>20</v>
      </c>
      <c r="L179" s="104">
        <v>1</v>
      </c>
      <c r="M179" s="104"/>
      <c r="N179" s="122">
        <f t="shared" si="7"/>
        <v>0</v>
      </c>
      <c r="O179" s="122">
        <f t="shared" si="3"/>
        <v>0</v>
      </c>
      <c r="P179" s="122">
        <f t="shared" si="4"/>
        <v>0</v>
      </c>
      <c r="Q179" s="128">
        <f t="shared" si="4"/>
        <v>0</v>
      </c>
      <c r="R179" s="128">
        <f t="shared" si="5"/>
        <v>0</v>
      </c>
      <c r="S179" s="127">
        <f t="shared" si="6"/>
        <v>0</v>
      </c>
    </row>
    <row r="180" spans="1:19" ht="46.2" x14ac:dyDescent="0.85">
      <c r="A180" s="107"/>
      <c r="B180" s="135"/>
      <c r="C180" s="54" t="s">
        <v>588</v>
      </c>
      <c r="D180" s="37"/>
      <c r="E180" s="104"/>
      <c r="F180" s="105"/>
      <c r="G180" s="104"/>
      <c r="H180" s="104"/>
      <c r="I180" s="121"/>
      <c r="J180" s="104"/>
      <c r="K180" s="112"/>
      <c r="L180" s="104"/>
      <c r="M180" s="104"/>
      <c r="N180" s="122">
        <f t="shared" si="7"/>
        <v>0</v>
      </c>
      <c r="O180" s="122">
        <f t="shared" si="3"/>
        <v>0</v>
      </c>
      <c r="P180" s="122">
        <f t="shared" si="4"/>
        <v>0</v>
      </c>
      <c r="Q180" s="128">
        <f t="shared" si="4"/>
        <v>0</v>
      </c>
      <c r="R180" s="128">
        <f t="shared" si="5"/>
        <v>0</v>
      </c>
      <c r="S180" s="127">
        <f t="shared" si="6"/>
        <v>0</v>
      </c>
    </row>
    <row r="181" spans="1:19" ht="46.2" x14ac:dyDescent="0.85">
      <c r="A181" s="107"/>
      <c r="B181" s="135"/>
      <c r="C181" s="54" t="s">
        <v>154</v>
      </c>
      <c r="D181" s="37"/>
      <c r="E181" s="104">
        <v>1</v>
      </c>
      <c r="F181" s="105"/>
      <c r="G181" s="104">
        <f>120/0.493835</f>
        <v>242.99614243623881</v>
      </c>
      <c r="H181" s="104">
        <v>1</v>
      </c>
      <c r="I181" s="121">
        <f>G181/H181</f>
        <v>242.99614243623881</v>
      </c>
      <c r="J181" s="121">
        <f>14/0.493835</f>
        <v>28.349549950894527</v>
      </c>
      <c r="K181" s="112">
        <v>0</v>
      </c>
      <c r="L181" s="104">
        <v>0</v>
      </c>
      <c r="M181" s="104">
        <v>16</v>
      </c>
      <c r="N181" s="122">
        <f t="shared" si="7"/>
        <v>3887.938278979821</v>
      </c>
      <c r="O181" s="122">
        <f t="shared" si="3"/>
        <v>453.59279921431244</v>
      </c>
      <c r="P181" s="122">
        <f t="shared" si="4"/>
        <v>0</v>
      </c>
      <c r="Q181" s="128">
        <f t="shared" si="4"/>
        <v>0</v>
      </c>
      <c r="R181" s="128">
        <f t="shared" si="5"/>
        <v>16</v>
      </c>
      <c r="S181" s="127">
        <f t="shared" si="6"/>
        <v>1</v>
      </c>
    </row>
    <row r="182" spans="1:19" ht="46.2" x14ac:dyDescent="0.85">
      <c r="A182" s="107"/>
      <c r="B182" s="135"/>
      <c r="C182" s="54" t="s">
        <v>595</v>
      </c>
      <c r="D182" s="37"/>
      <c r="E182" s="104">
        <v>4</v>
      </c>
      <c r="F182" s="105"/>
      <c r="G182" s="104">
        <v>200</v>
      </c>
      <c r="H182" s="125">
        <v>1.3404100000000001</v>
      </c>
      <c r="I182" s="121">
        <f>G182/H182</f>
        <v>149.20807812534969</v>
      </c>
      <c r="J182" s="104">
        <v>17</v>
      </c>
      <c r="K182" s="112">
        <v>17</v>
      </c>
      <c r="L182" s="104">
        <v>2</v>
      </c>
      <c r="M182" s="104">
        <v>3</v>
      </c>
      <c r="N182" s="122">
        <f t="shared" si="7"/>
        <v>2400</v>
      </c>
      <c r="O182" s="122">
        <f t="shared" si="3"/>
        <v>204</v>
      </c>
      <c r="P182" s="122">
        <f t="shared" si="4"/>
        <v>204</v>
      </c>
      <c r="Q182" s="128">
        <f t="shared" si="4"/>
        <v>24</v>
      </c>
      <c r="R182" s="128">
        <f t="shared" si="5"/>
        <v>16.08492</v>
      </c>
      <c r="S182" s="127">
        <f t="shared" si="6"/>
        <v>1.0053075</v>
      </c>
    </row>
    <row r="183" spans="1:19" ht="46.2" x14ac:dyDescent="0.85">
      <c r="A183" s="107"/>
      <c r="B183" s="135"/>
      <c r="C183" s="54" t="s">
        <v>596</v>
      </c>
      <c r="D183" s="37"/>
      <c r="E183" s="104">
        <v>8</v>
      </c>
      <c r="F183" s="105"/>
      <c r="G183" s="104">
        <v>120</v>
      </c>
      <c r="H183" s="125">
        <f>7/E183</f>
        <v>0.875</v>
      </c>
      <c r="I183" s="121">
        <f>G183/H183</f>
        <v>137.14285714285714</v>
      </c>
      <c r="J183" s="104">
        <v>7</v>
      </c>
      <c r="K183" s="112">
        <v>15</v>
      </c>
      <c r="L183" s="104">
        <v>2</v>
      </c>
      <c r="M183" s="104"/>
      <c r="N183" s="122">
        <f t="shared" si="7"/>
        <v>0</v>
      </c>
      <c r="O183" s="122">
        <f t="shared" si="3"/>
        <v>0</v>
      </c>
      <c r="P183" s="122">
        <f t="shared" si="4"/>
        <v>0</v>
      </c>
      <c r="Q183" s="128">
        <f t="shared" si="4"/>
        <v>0</v>
      </c>
      <c r="R183" s="128"/>
      <c r="S183" s="127"/>
    </row>
    <row r="184" spans="1:19" ht="46.2" x14ac:dyDescent="0.85">
      <c r="A184" s="107"/>
      <c r="B184" s="135"/>
      <c r="C184" s="54"/>
      <c r="D184" s="37"/>
      <c r="E184" s="104"/>
      <c r="F184" s="105"/>
      <c r="G184" s="104"/>
      <c r="H184" s="104"/>
      <c r="I184" s="104"/>
      <c r="J184" s="104"/>
      <c r="K184" s="112"/>
      <c r="L184" s="104"/>
      <c r="M184" s="104"/>
      <c r="N184" s="122">
        <f t="shared" si="7"/>
        <v>0</v>
      </c>
      <c r="O184" s="122">
        <f t="shared" si="3"/>
        <v>0</v>
      </c>
      <c r="P184" s="122">
        <f t="shared" si="4"/>
        <v>0</v>
      </c>
      <c r="Q184" s="128">
        <f t="shared" si="4"/>
        <v>0</v>
      </c>
      <c r="R184" s="128">
        <f t="shared" si="5"/>
        <v>0</v>
      </c>
      <c r="S184" s="127">
        <f t="shared" si="6"/>
        <v>0</v>
      </c>
    </row>
    <row r="185" spans="1:19" ht="46.2" x14ac:dyDescent="0.85">
      <c r="A185" s="108">
        <v>125</v>
      </c>
      <c r="B185" s="138"/>
      <c r="C185" s="54"/>
      <c r="D185" s="37"/>
      <c r="E185" s="104"/>
      <c r="F185" s="105"/>
      <c r="G185" s="104"/>
      <c r="H185" s="104"/>
      <c r="I185" s="104"/>
      <c r="J185" s="104"/>
      <c r="K185" s="112"/>
      <c r="L185" s="104"/>
      <c r="M185" s="104"/>
      <c r="N185" s="122">
        <f t="shared" si="7"/>
        <v>0</v>
      </c>
      <c r="O185" s="122">
        <f t="shared" si="3"/>
        <v>0</v>
      </c>
      <c r="P185" s="122">
        <f t="shared" si="4"/>
        <v>0</v>
      </c>
      <c r="Q185" s="128">
        <f t="shared" si="4"/>
        <v>0</v>
      </c>
      <c r="R185" s="128">
        <f t="shared" si="5"/>
        <v>0</v>
      </c>
      <c r="S185" s="127">
        <f t="shared" si="6"/>
        <v>0</v>
      </c>
    </row>
    <row r="186" spans="1:19" ht="46.2" x14ac:dyDescent="0.85">
      <c r="A186" s="107"/>
      <c r="B186" s="135"/>
      <c r="C186" s="54"/>
      <c r="D186" s="37"/>
      <c r="E186" s="104">
        <v>1</v>
      </c>
      <c r="F186" s="105"/>
      <c r="G186" s="104">
        <v>150</v>
      </c>
      <c r="H186" s="104">
        <v>1</v>
      </c>
      <c r="I186" s="104">
        <v>150</v>
      </c>
      <c r="J186" s="104">
        <v>8</v>
      </c>
      <c r="K186" s="112">
        <v>16</v>
      </c>
      <c r="L186" s="104">
        <v>3</v>
      </c>
      <c r="M186" s="104">
        <v>34</v>
      </c>
      <c r="N186" s="122">
        <f t="shared" si="7"/>
        <v>5100</v>
      </c>
      <c r="O186" s="122">
        <f t="shared" si="3"/>
        <v>272</v>
      </c>
      <c r="P186" s="122">
        <f t="shared" si="4"/>
        <v>544</v>
      </c>
      <c r="Q186" s="128">
        <f t="shared" si="4"/>
        <v>102</v>
      </c>
      <c r="R186" s="128">
        <f t="shared" si="5"/>
        <v>34</v>
      </c>
      <c r="S186" s="127">
        <f t="shared" si="6"/>
        <v>2.125</v>
      </c>
    </row>
    <row r="187" spans="1:19" ht="46.2" x14ac:dyDescent="0.85">
      <c r="A187" s="108"/>
      <c r="B187" s="138"/>
      <c r="C187" s="54"/>
      <c r="D187" s="37"/>
      <c r="E187" s="104">
        <v>13.75</v>
      </c>
      <c r="F187" s="105"/>
      <c r="G187" s="104">
        <v>190</v>
      </c>
      <c r="H187" s="125">
        <f>16/E187</f>
        <v>1.1636363636363636</v>
      </c>
      <c r="I187" s="121">
        <f>G187/H187</f>
        <v>163.28125</v>
      </c>
      <c r="J187" s="104">
        <v>16</v>
      </c>
      <c r="K187" s="112">
        <v>8</v>
      </c>
      <c r="L187" s="104">
        <v>7</v>
      </c>
      <c r="M187" s="104">
        <v>2</v>
      </c>
      <c r="N187" s="122">
        <f>M187*(E187*G187)</f>
        <v>5225</v>
      </c>
      <c r="O187" s="122">
        <f t="shared" si="3"/>
        <v>440</v>
      </c>
      <c r="P187" s="122">
        <f>K187*$E187*$M187</f>
        <v>220</v>
      </c>
      <c r="Q187" s="128">
        <f>L187*$E187*$M187</f>
        <v>192.5</v>
      </c>
      <c r="R187" s="128">
        <f>M187*E187*H187</f>
        <v>32</v>
      </c>
      <c r="S187" s="127">
        <f>R187/16</f>
        <v>2</v>
      </c>
    </row>
    <row r="188" spans="1:19" ht="46.2" x14ac:dyDescent="0.85">
      <c r="A188" s="109"/>
      <c r="B188" s="139"/>
      <c r="C188" s="54"/>
      <c r="D188" s="37"/>
      <c r="E188" s="104">
        <v>1</v>
      </c>
      <c r="F188" s="105"/>
      <c r="G188" s="104">
        <v>90</v>
      </c>
      <c r="H188" s="104">
        <v>1</v>
      </c>
      <c r="I188" s="104">
        <v>90</v>
      </c>
      <c r="J188" s="104">
        <v>2</v>
      </c>
      <c r="K188" s="112">
        <v>16</v>
      </c>
      <c r="L188" s="104">
        <v>16</v>
      </c>
      <c r="M188" s="104">
        <v>42</v>
      </c>
      <c r="N188" s="122">
        <f t="shared" si="7"/>
        <v>3780</v>
      </c>
      <c r="O188" s="122">
        <f t="shared" si="3"/>
        <v>84</v>
      </c>
      <c r="P188" s="122">
        <f>K188*$E188*$M188</f>
        <v>672</v>
      </c>
      <c r="Q188" s="128">
        <f>L188*$E188*$M188</f>
        <v>672</v>
      </c>
      <c r="R188" s="128">
        <f t="shared" si="5"/>
        <v>42</v>
      </c>
      <c r="S188" s="127">
        <f t="shared" si="6"/>
        <v>2.625</v>
      </c>
    </row>
    <row r="189" spans="1:19" ht="46.2" x14ac:dyDescent="0.85">
      <c r="A189" s="92"/>
      <c r="B189" s="92"/>
      <c r="C189" s="54"/>
      <c r="D189" s="37"/>
      <c r="E189" s="104"/>
      <c r="F189" s="105"/>
      <c r="G189" s="104"/>
      <c r="H189" s="104"/>
      <c r="I189" s="104"/>
      <c r="J189" s="104"/>
      <c r="K189" s="112"/>
      <c r="L189" s="104"/>
      <c r="M189" s="104"/>
      <c r="N189" s="122">
        <f t="shared" ref="N189:S189" si="8">SUM(N171:N188)</f>
        <v>71032.938278979826</v>
      </c>
      <c r="O189" s="122">
        <f t="shared" si="8"/>
        <v>4271.5927992143124</v>
      </c>
      <c r="P189" s="122">
        <f t="shared" si="8"/>
        <v>5758</v>
      </c>
      <c r="Q189" s="122">
        <f t="shared" si="8"/>
        <v>3202.5</v>
      </c>
      <c r="R189" s="122">
        <f t="shared" si="8"/>
        <v>475.65491999999995</v>
      </c>
      <c r="S189" s="126">
        <f t="shared" si="8"/>
        <v>29.728432499999997</v>
      </c>
    </row>
    <row r="190" spans="1:19" ht="46.2" x14ac:dyDescent="0.85">
      <c r="A190" s="110"/>
      <c r="B190" s="110"/>
      <c r="C190" s="56"/>
      <c r="D190" s="57"/>
      <c r="E190" s="116"/>
      <c r="F190" s="117"/>
      <c r="G190" s="116"/>
      <c r="H190" s="116"/>
      <c r="I190" s="116"/>
      <c r="J190" s="116"/>
      <c r="K190" s="118"/>
      <c r="L190" s="116"/>
      <c r="M190" s="116">
        <v>14</v>
      </c>
      <c r="N190" s="123">
        <f>M190*5000</f>
        <v>70000</v>
      </c>
      <c r="O190" s="123"/>
      <c r="P190" s="123"/>
      <c r="Q190" s="124"/>
      <c r="R190" s="119"/>
    </row>
    <row r="191" spans="1:19" x14ac:dyDescent="0.3">
      <c r="F191" s="3"/>
    </row>
    <row r="193" spans="3:13" ht="46.2" x14ac:dyDescent="0.85">
      <c r="C193" s="54" t="s">
        <v>519</v>
      </c>
      <c r="D193" s="98" t="s">
        <v>518</v>
      </c>
      <c r="E193" s="104">
        <v>2</v>
      </c>
      <c r="F193" s="105"/>
      <c r="G193" s="104">
        <v>370</v>
      </c>
      <c r="H193" s="104">
        <f>5.15/2</f>
        <v>2.5750000000000002</v>
      </c>
      <c r="I193" s="121">
        <f>G193/H193</f>
        <v>143.6893203883495</v>
      </c>
      <c r="J193" s="104">
        <v>19</v>
      </c>
      <c r="K193" s="112">
        <v>30</v>
      </c>
      <c r="L193" s="104">
        <v>20</v>
      </c>
      <c r="M193" s="10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96"/>
  <sheetViews>
    <sheetView topLeftCell="B1" workbookViewId="0">
      <pane xSplit="4" ySplit="3" topLeftCell="F4" activePane="bottomRight" state="frozenSplit"/>
      <selection activeCell="B1" sqref="B1"/>
      <selection pane="topRight" activeCell="G1" sqref="G1"/>
      <selection pane="bottomLeft" activeCell="B6" sqref="B6"/>
      <selection pane="bottomRight" activeCell="D7" sqref="D7"/>
    </sheetView>
  </sheetViews>
  <sheetFormatPr defaultRowHeight="14.4" x14ac:dyDescent="0.3"/>
  <cols>
    <col min="4" max="4" width="21.44140625" customWidth="1"/>
    <col min="5" max="5" width="30.33203125" customWidth="1"/>
    <col min="10" max="10" width="14.88671875" customWidth="1"/>
    <col min="15" max="15" width="9" customWidth="1"/>
    <col min="19" max="19" width="6.33203125" customWidth="1"/>
  </cols>
  <sheetData>
    <row r="1" spans="1:23" x14ac:dyDescent="0.3">
      <c r="D1" s="157"/>
      <c r="E1" s="158"/>
      <c r="F1" s="158"/>
      <c r="G1" s="158"/>
      <c r="H1" s="158"/>
      <c r="I1" s="158"/>
      <c r="J1" s="158"/>
      <c r="K1" s="158"/>
      <c r="L1" s="158"/>
      <c r="M1" s="158"/>
      <c r="N1" s="159"/>
      <c r="O1" s="262"/>
      <c r="P1" t="s">
        <v>102</v>
      </c>
    </row>
    <row r="2" spans="1:23" x14ac:dyDescent="0.3">
      <c r="D2" s="21"/>
      <c r="E2" s="19"/>
      <c r="F2" s="19"/>
      <c r="G2" s="19"/>
      <c r="H2" s="19" t="s">
        <v>108</v>
      </c>
      <c r="I2" s="20"/>
      <c r="J2" t="s">
        <v>4</v>
      </c>
      <c r="K2" s="19"/>
      <c r="L2" s="19"/>
      <c r="M2" s="20"/>
      <c r="N2" s="14"/>
      <c r="P2" t="s">
        <v>2</v>
      </c>
      <c r="Q2" t="s">
        <v>43</v>
      </c>
      <c r="R2" t="s">
        <v>44</v>
      </c>
    </row>
    <row r="3" spans="1:23" ht="28.8" x14ac:dyDescent="0.3">
      <c r="A3" s="160" t="s">
        <v>604</v>
      </c>
      <c r="B3" s="19" t="s">
        <v>603</v>
      </c>
      <c r="C3" s="19" t="s">
        <v>537</v>
      </c>
      <c r="D3" s="21" t="s">
        <v>2</v>
      </c>
      <c r="E3" s="19" t="s">
        <v>202</v>
      </c>
      <c r="F3" s="19" t="s">
        <v>201</v>
      </c>
      <c r="G3" t="s">
        <v>3</v>
      </c>
      <c r="H3" t="s">
        <v>43</v>
      </c>
      <c r="I3" t="s">
        <v>44</v>
      </c>
      <c r="N3" s="14"/>
      <c r="O3" s="26" t="s">
        <v>339</v>
      </c>
      <c r="W3" t="s">
        <v>274</v>
      </c>
    </row>
    <row r="4" spans="1:23" x14ac:dyDescent="0.3">
      <c r="A4" s="161"/>
      <c r="B4" s="161"/>
      <c r="C4" s="162"/>
      <c r="D4" s="163" t="s">
        <v>168</v>
      </c>
      <c r="E4" s="164"/>
      <c r="F4" s="165"/>
      <c r="G4" s="165"/>
      <c r="H4" s="165"/>
      <c r="I4" s="166"/>
      <c r="J4" s="167"/>
      <c r="K4" s="167"/>
      <c r="L4" s="167"/>
      <c r="M4" s="167"/>
      <c r="N4" s="168"/>
    </row>
    <row r="5" spans="1:23" x14ac:dyDescent="0.3">
      <c r="A5" s="161"/>
      <c r="B5" s="161" t="s">
        <v>157</v>
      </c>
      <c r="C5" s="162"/>
      <c r="D5" s="169" t="s">
        <v>165</v>
      </c>
      <c r="E5" s="165"/>
      <c r="F5" s="165">
        <v>1</v>
      </c>
      <c r="G5" s="165"/>
      <c r="H5" s="165"/>
      <c r="I5" s="166"/>
      <c r="J5" s="167"/>
      <c r="K5" s="167"/>
      <c r="L5" s="167"/>
      <c r="M5" s="167"/>
      <c r="N5" s="168"/>
    </row>
    <row r="6" spans="1:23" x14ac:dyDescent="0.3">
      <c r="A6" s="161"/>
      <c r="B6" s="161" t="s">
        <v>157</v>
      </c>
      <c r="C6" s="162"/>
      <c r="D6" s="169" t="s">
        <v>164</v>
      </c>
      <c r="E6" s="165"/>
      <c r="F6" s="165">
        <v>1</v>
      </c>
      <c r="G6" s="165"/>
      <c r="H6" s="165"/>
      <c r="I6" s="166"/>
      <c r="J6" s="167"/>
      <c r="K6" s="167"/>
      <c r="L6" s="167"/>
      <c r="M6" s="167"/>
      <c r="N6" s="168"/>
    </row>
    <row r="7" spans="1:23" x14ac:dyDescent="0.3">
      <c r="A7" s="161"/>
      <c r="B7" s="161" t="s">
        <v>157</v>
      </c>
      <c r="C7" s="162"/>
      <c r="D7" s="169" t="s">
        <v>393</v>
      </c>
      <c r="E7" s="165"/>
      <c r="F7" s="165">
        <v>1</v>
      </c>
      <c r="G7" s="165"/>
      <c r="H7" s="165"/>
      <c r="I7" s="166"/>
      <c r="J7" s="167"/>
      <c r="K7" s="167"/>
      <c r="L7" s="167"/>
      <c r="M7" s="167"/>
      <c r="N7" s="168"/>
    </row>
    <row r="8" spans="1:23" x14ac:dyDescent="0.3">
      <c r="A8" s="161"/>
      <c r="B8" s="161" t="s">
        <v>157</v>
      </c>
      <c r="C8" s="162"/>
      <c r="D8" s="169" t="s">
        <v>394</v>
      </c>
      <c r="E8" s="165"/>
      <c r="F8" s="165">
        <v>1</v>
      </c>
      <c r="G8" s="165"/>
      <c r="H8" s="165"/>
      <c r="I8" s="166"/>
      <c r="J8" s="167"/>
      <c r="K8" s="167"/>
      <c r="L8" s="167"/>
      <c r="M8" s="167"/>
      <c r="N8" s="168"/>
    </row>
    <row r="9" spans="1:23" x14ac:dyDescent="0.3">
      <c r="A9" s="161"/>
      <c r="B9" s="161"/>
      <c r="C9" s="162"/>
      <c r="D9" s="169" t="s">
        <v>395</v>
      </c>
      <c r="E9" s="165"/>
      <c r="F9" s="165"/>
      <c r="G9" s="165"/>
      <c r="H9" s="165"/>
      <c r="I9" s="166"/>
      <c r="J9" s="167"/>
      <c r="K9" s="167"/>
      <c r="L9" s="167"/>
      <c r="M9" s="167"/>
      <c r="N9" s="168"/>
    </row>
    <row r="10" spans="1:23" x14ac:dyDescent="0.3">
      <c r="A10" s="161"/>
      <c r="B10" s="161"/>
      <c r="C10" s="162"/>
      <c r="D10" s="169" t="s">
        <v>427</v>
      </c>
      <c r="E10" s="165"/>
      <c r="F10" s="165"/>
      <c r="G10" s="165"/>
      <c r="H10" s="165"/>
      <c r="I10" s="166"/>
      <c r="J10" s="167"/>
      <c r="K10" s="167"/>
      <c r="L10" s="167"/>
      <c r="M10" s="167"/>
      <c r="N10" s="168"/>
    </row>
    <row r="11" spans="1:23" x14ac:dyDescent="0.3">
      <c r="A11" s="161"/>
      <c r="B11" s="161"/>
      <c r="C11" s="170"/>
      <c r="D11" s="170" t="s">
        <v>500</v>
      </c>
      <c r="E11" s="171"/>
      <c r="F11" s="165"/>
      <c r="G11" s="165"/>
      <c r="H11" s="165"/>
      <c r="I11" s="166"/>
      <c r="J11" s="167"/>
      <c r="K11" s="167"/>
      <c r="L11" s="167"/>
      <c r="M11" s="167"/>
      <c r="N11" s="168"/>
    </row>
    <row r="12" spans="1:23" x14ac:dyDescent="0.3">
      <c r="A12" s="161"/>
      <c r="B12" s="161" t="s">
        <v>157</v>
      </c>
      <c r="C12" s="170"/>
      <c r="D12" s="170" t="s">
        <v>501</v>
      </c>
      <c r="E12" s="171"/>
      <c r="F12" s="165"/>
      <c r="G12" s="165"/>
      <c r="H12" s="165"/>
      <c r="I12" s="166"/>
      <c r="J12" s="167"/>
      <c r="K12" s="167"/>
      <c r="L12" s="167"/>
      <c r="M12" s="167"/>
      <c r="N12" s="168"/>
    </row>
    <row r="14" spans="1:23" x14ac:dyDescent="0.3">
      <c r="A14" s="161"/>
      <c r="B14" s="161" t="s">
        <v>157</v>
      </c>
      <c r="C14" s="172"/>
      <c r="D14" s="173" t="s">
        <v>429</v>
      </c>
      <c r="E14" s="169" t="s">
        <v>613</v>
      </c>
      <c r="F14" s="165"/>
      <c r="G14" s="174">
        <f>135*0.88</f>
        <v>118.8</v>
      </c>
      <c r="H14" s="165">
        <v>55</v>
      </c>
      <c r="I14" s="175">
        <f t="shared" ref="I14:I26" si="0">H14/16</f>
        <v>3.4375</v>
      </c>
      <c r="J14" s="167"/>
      <c r="K14" s="167"/>
      <c r="L14" s="167"/>
      <c r="M14" s="167"/>
      <c r="N14" s="168"/>
    </row>
    <row r="15" spans="1:23" x14ac:dyDescent="0.3">
      <c r="A15" s="161"/>
      <c r="B15" s="161" t="s">
        <v>157</v>
      </c>
      <c r="C15" s="176"/>
      <c r="D15" s="177"/>
      <c r="E15" s="169" t="s">
        <v>612</v>
      </c>
      <c r="F15" s="165"/>
      <c r="G15" s="174">
        <f>44*0.88</f>
        <v>38.72</v>
      </c>
      <c r="H15" s="178">
        <f>3.5+2.5</f>
        <v>6</v>
      </c>
      <c r="I15" s="175">
        <f t="shared" si="0"/>
        <v>0.375</v>
      </c>
      <c r="J15" s="167"/>
      <c r="K15" s="167"/>
      <c r="L15" s="167"/>
      <c r="M15" s="167"/>
      <c r="N15" s="168"/>
    </row>
    <row r="16" spans="1:23" x14ac:dyDescent="0.3">
      <c r="A16" s="161"/>
      <c r="B16" s="161" t="s">
        <v>157</v>
      </c>
      <c r="C16" s="179"/>
      <c r="D16" s="180"/>
      <c r="E16" s="169" t="s">
        <v>614</v>
      </c>
      <c r="F16" s="165">
        <v>2</v>
      </c>
      <c r="G16" s="174">
        <f>19*0.88</f>
        <v>16.72</v>
      </c>
      <c r="H16" s="178">
        <f>2.3*F16</f>
        <v>4.5999999999999996</v>
      </c>
      <c r="I16" s="175">
        <f t="shared" si="0"/>
        <v>0.28749999999999998</v>
      </c>
      <c r="J16" s="167" t="s">
        <v>615</v>
      </c>
      <c r="K16" s="167"/>
      <c r="L16" s="167"/>
      <c r="M16" s="167"/>
      <c r="N16" s="168"/>
    </row>
    <row r="17" spans="1:14" x14ac:dyDescent="0.3">
      <c r="A17" s="161"/>
      <c r="B17" s="161" t="s">
        <v>157</v>
      </c>
      <c r="C17" s="162"/>
      <c r="D17" s="169" t="s">
        <v>207</v>
      </c>
      <c r="E17" s="165" t="s">
        <v>630</v>
      </c>
      <c r="F17" s="165">
        <v>1</v>
      </c>
      <c r="G17" s="174">
        <v>34</v>
      </c>
      <c r="H17" s="178">
        <v>5.9</v>
      </c>
      <c r="I17" s="175">
        <f t="shared" si="0"/>
        <v>0.36875000000000002</v>
      </c>
      <c r="J17" s="267" t="s">
        <v>431</v>
      </c>
      <c r="K17" s="167"/>
      <c r="L17" s="167"/>
      <c r="M17" s="167"/>
      <c r="N17" s="168"/>
    </row>
    <row r="18" spans="1:14" x14ac:dyDescent="0.3">
      <c r="A18" s="161"/>
      <c r="B18" s="161"/>
      <c r="C18" s="162"/>
      <c r="D18" s="169" t="s">
        <v>599</v>
      </c>
      <c r="E18" s="165" t="s">
        <v>434</v>
      </c>
      <c r="F18" s="165"/>
      <c r="G18" s="174"/>
      <c r="H18" s="178"/>
      <c r="I18" s="175"/>
      <c r="J18" s="267" t="s">
        <v>400</v>
      </c>
      <c r="K18" s="167"/>
      <c r="L18" s="167"/>
      <c r="M18" s="167"/>
      <c r="N18" s="168"/>
    </row>
    <row r="19" spans="1:14" x14ac:dyDescent="0.3">
      <c r="A19" s="161"/>
      <c r="B19" s="161"/>
      <c r="C19" s="162" t="s">
        <v>157</v>
      </c>
      <c r="D19" s="169" t="s">
        <v>600</v>
      </c>
      <c r="E19" s="165"/>
      <c r="F19" s="165"/>
      <c r="G19" s="174"/>
      <c r="H19" s="178"/>
      <c r="I19" s="175"/>
      <c r="J19" s="167"/>
      <c r="K19" s="167"/>
      <c r="L19" s="167"/>
      <c r="M19" s="167"/>
      <c r="N19" s="168"/>
    </row>
    <row r="20" spans="1:14" x14ac:dyDescent="0.3">
      <c r="A20" s="161"/>
      <c r="B20" s="161" t="s">
        <v>157</v>
      </c>
      <c r="C20" s="162"/>
      <c r="D20" s="181" t="s">
        <v>402</v>
      </c>
      <c r="E20" s="182" t="s">
        <v>401</v>
      </c>
      <c r="F20" s="165">
        <v>1</v>
      </c>
      <c r="G20" s="174"/>
      <c r="H20" s="178">
        <v>2</v>
      </c>
      <c r="I20" s="175">
        <f t="shared" si="0"/>
        <v>0.125</v>
      </c>
      <c r="J20" s="167"/>
      <c r="K20" s="167"/>
      <c r="L20" s="167"/>
      <c r="M20" s="167"/>
      <c r="N20" s="168"/>
    </row>
    <row r="21" spans="1:14" s="79" customFormat="1" x14ac:dyDescent="0.3">
      <c r="A21" s="268"/>
      <c r="B21" s="268"/>
      <c r="C21" s="269"/>
      <c r="D21" s="181" t="s">
        <v>404</v>
      </c>
      <c r="E21" s="182" t="s">
        <v>403</v>
      </c>
      <c r="F21" s="182">
        <v>1</v>
      </c>
      <c r="G21" s="275"/>
      <c r="H21" s="276">
        <v>5.7</v>
      </c>
      <c r="I21" s="273">
        <f t="shared" si="0"/>
        <v>0.35625000000000001</v>
      </c>
      <c r="J21" s="274" t="s">
        <v>486</v>
      </c>
      <c r="K21" s="271"/>
      <c r="L21" s="271"/>
      <c r="M21" s="271"/>
      <c r="N21" s="272"/>
    </row>
    <row r="22" spans="1:14" s="79" customFormat="1" x14ac:dyDescent="0.3">
      <c r="A22" s="268"/>
      <c r="B22" s="268" t="s">
        <v>157</v>
      </c>
      <c r="C22" s="269"/>
      <c r="D22" s="181" t="s">
        <v>405</v>
      </c>
      <c r="E22" s="182" t="s">
        <v>401</v>
      </c>
      <c r="F22" s="182">
        <v>1</v>
      </c>
      <c r="G22" s="275"/>
      <c r="H22" s="276">
        <v>2.7</v>
      </c>
      <c r="I22" s="273">
        <f t="shared" si="0"/>
        <v>0.16875000000000001</v>
      </c>
      <c r="J22" s="274"/>
      <c r="K22" s="271"/>
      <c r="L22" s="271"/>
      <c r="M22" s="271"/>
      <c r="N22" s="272"/>
    </row>
    <row r="23" spans="1:14" x14ac:dyDescent="0.3">
      <c r="A23" s="161"/>
      <c r="B23" s="161" t="s">
        <v>157</v>
      </c>
      <c r="C23" s="162"/>
      <c r="J23" s="167"/>
      <c r="K23" s="167"/>
      <c r="L23" s="167"/>
      <c r="M23" s="167"/>
      <c r="N23" s="168"/>
    </row>
    <row r="24" spans="1:14" x14ac:dyDescent="0.3">
      <c r="A24" s="161"/>
      <c r="B24" s="161" t="s">
        <v>157</v>
      </c>
      <c r="C24" s="162"/>
      <c r="D24" s="169" t="s">
        <v>216</v>
      </c>
      <c r="E24" s="165" t="s">
        <v>631</v>
      </c>
      <c r="F24" s="165">
        <v>1</v>
      </c>
      <c r="G24" s="183">
        <v>258</v>
      </c>
      <c r="H24" s="165">
        <v>30.6</v>
      </c>
      <c r="I24" s="175">
        <f t="shared" si="0"/>
        <v>1.9125000000000001</v>
      </c>
      <c r="J24" s="167"/>
      <c r="K24" s="167"/>
      <c r="L24" s="167"/>
      <c r="M24" s="167"/>
      <c r="N24" s="168"/>
    </row>
    <row r="25" spans="1:14" x14ac:dyDescent="0.3">
      <c r="A25" s="161" t="s">
        <v>157</v>
      </c>
      <c r="B25" s="161" t="s">
        <v>157</v>
      </c>
      <c r="C25" s="162"/>
      <c r="D25" s="169" t="s">
        <v>217</v>
      </c>
      <c r="E25" s="165" t="s">
        <v>71</v>
      </c>
      <c r="F25" s="165">
        <v>1</v>
      </c>
      <c r="G25" s="183">
        <v>35.89</v>
      </c>
      <c r="H25" s="165">
        <v>4</v>
      </c>
      <c r="I25" s="175">
        <f t="shared" si="0"/>
        <v>0.25</v>
      </c>
      <c r="J25" s="167"/>
      <c r="K25" s="167"/>
      <c r="L25" s="167"/>
      <c r="M25" s="167"/>
      <c r="N25" s="168"/>
    </row>
    <row r="26" spans="1:14" x14ac:dyDescent="0.3">
      <c r="A26" s="161"/>
      <c r="B26" s="161" t="s">
        <v>157</v>
      </c>
      <c r="C26" s="162"/>
      <c r="D26" s="169" t="s">
        <v>218</v>
      </c>
      <c r="E26" s="165" t="s">
        <v>616</v>
      </c>
      <c r="F26" s="165">
        <v>1</v>
      </c>
      <c r="G26" s="183">
        <v>143.96</v>
      </c>
      <c r="H26" s="165">
        <v>21</v>
      </c>
      <c r="I26" s="175">
        <f t="shared" si="0"/>
        <v>1.3125</v>
      </c>
      <c r="J26" s="167"/>
      <c r="K26" s="167"/>
      <c r="L26" s="167"/>
      <c r="M26" s="167"/>
      <c r="N26" s="168"/>
    </row>
    <row r="27" spans="1:14" x14ac:dyDescent="0.3">
      <c r="A27" s="161"/>
      <c r="B27" s="161" t="s">
        <v>157</v>
      </c>
      <c r="C27" s="170"/>
      <c r="D27" s="184" t="s">
        <v>250</v>
      </c>
      <c r="E27" s="185" t="s">
        <v>617</v>
      </c>
      <c r="F27" s="185">
        <v>5</v>
      </c>
      <c r="G27" s="183"/>
      <c r="H27" s="165"/>
      <c r="I27" s="175"/>
      <c r="J27" s="267" t="s">
        <v>450</v>
      </c>
      <c r="K27" s="186"/>
      <c r="L27" s="186"/>
      <c r="M27" s="186"/>
      <c r="N27" s="187"/>
    </row>
    <row r="28" spans="1:14" x14ac:dyDescent="0.3">
      <c r="A28" s="161"/>
      <c r="B28" s="161" t="s">
        <v>157</v>
      </c>
      <c r="C28" s="162"/>
      <c r="D28" s="169" t="s">
        <v>219</v>
      </c>
      <c r="E28" s="165" t="s">
        <v>69</v>
      </c>
      <c r="F28" s="165">
        <v>1</v>
      </c>
      <c r="G28" s="183">
        <v>49.95</v>
      </c>
      <c r="H28" s="165">
        <v>7.4</v>
      </c>
      <c r="I28" s="175">
        <f>H28/16</f>
        <v>0.46250000000000002</v>
      </c>
      <c r="J28" s="167"/>
      <c r="K28" s="167"/>
      <c r="L28" s="167"/>
      <c r="M28" s="167"/>
      <c r="N28" s="168"/>
    </row>
    <row r="29" spans="1:14" x14ac:dyDescent="0.3">
      <c r="A29" s="161"/>
      <c r="B29" s="161" t="s">
        <v>157</v>
      </c>
      <c r="C29" s="162"/>
      <c r="D29" s="169" t="s">
        <v>255</v>
      </c>
      <c r="E29" s="165" t="s">
        <v>406</v>
      </c>
      <c r="F29" s="165">
        <v>2</v>
      </c>
      <c r="G29" s="183"/>
      <c r="H29" s="165">
        <v>3.2</v>
      </c>
      <c r="I29" s="175">
        <f>H29/16*F29</f>
        <v>0.4</v>
      </c>
      <c r="J29" s="167"/>
      <c r="K29" s="167"/>
      <c r="L29" s="167"/>
      <c r="M29" s="167"/>
      <c r="N29" s="168"/>
    </row>
    <row r="30" spans="1:14" x14ac:dyDescent="0.3">
      <c r="A30" s="161"/>
      <c r="B30" s="161" t="s">
        <v>157</v>
      </c>
      <c r="C30" s="162"/>
      <c r="D30" s="169" t="s">
        <v>256</v>
      </c>
      <c r="E30" s="165" t="s">
        <v>69</v>
      </c>
      <c r="F30" s="165">
        <v>2</v>
      </c>
      <c r="G30" s="183"/>
      <c r="H30" s="165">
        <v>7.4</v>
      </c>
      <c r="I30" s="175">
        <f>H30/16*F30</f>
        <v>0.92500000000000004</v>
      </c>
      <c r="J30" s="167"/>
      <c r="K30" s="167"/>
      <c r="L30" s="167"/>
      <c r="M30" s="167"/>
      <c r="N30" s="168"/>
    </row>
    <row r="31" spans="1:14" x14ac:dyDescent="0.3">
      <c r="A31" s="161"/>
      <c r="B31" s="161"/>
      <c r="C31" s="162"/>
      <c r="D31" s="169" t="s">
        <v>159</v>
      </c>
      <c r="E31" s="361" t="s">
        <v>618</v>
      </c>
      <c r="F31" s="165">
        <v>1</v>
      </c>
      <c r="G31" s="183"/>
      <c r="H31" s="165"/>
      <c r="I31" s="175"/>
      <c r="J31" s="167"/>
      <c r="K31" s="167"/>
      <c r="L31" s="167"/>
      <c r="M31" s="167"/>
      <c r="N31" s="168"/>
    </row>
    <row r="32" spans="1:14" x14ac:dyDescent="0.3">
      <c r="A32" s="161"/>
      <c r="B32" s="161"/>
      <c r="C32" s="162"/>
      <c r="D32" s="169" t="s">
        <v>462</v>
      </c>
      <c r="E32" s="362"/>
      <c r="F32" s="165"/>
      <c r="G32" s="183"/>
      <c r="H32" s="165"/>
      <c r="I32" s="175"/>
      <c r="J32" s="167"/>
      <c r="K32" s="167"/>
      <c r="L32" s="167"/>
      <c r="M32" s="167"/>
      <c r="N32" s="168"/>
    </row>
    <row r="33" spans="1:15" x14ac:dyDescent="0.3">
      <c r="A33" s="161"/>
      <c r="B33" s="161"/>
      <c r="C33" s="162"/>
      <c r="D33" s="169" t="s">
        <v>465</v>
      </c>
      <c r="E33" s="362"/>
      <c r="F33" s="165">
        <v>1</v>
      </c>
      <c r="G33" s="183"/>
      <c r="H33" s="165"/>
      <c r="I33" s="175"/>
      <c r="J33" s="167"/>
      <c r="K33" s="167"/>
      <c r="L33" s="167"/>
      <c r="M33" s="167"/>
      <c r="N33" s="168"/>
    </row>
    <row r="34" spans="1:15" x14ac:dyDescent="0.3">
      <c r="A34" s="161"/>
      <c r="B34" s="161"/>
      <c r="C34" s="162"/>
      <c r="D34" s="169" t="s">
        <v>467</v>
      </c>
      <c r="E34" s="362"/>
      <c r="F34" s="165">
        <v>9</v>
      </c>
      <c r="G34" s="183"/>
      <c r="H34" s="165"/>
      <c r="I34" s="175"/>
      <c r="J34" s="167"/>
      <c r="K34" s="167"/>
      <c r="L34" s="167"/>
      <c r="M34" s="167"/>
      <c r="N34" s="168"/>
    </row>
    <row r="35" spans="1:15" x14ac:dyDescent="0.3">
      <c r="A35" s="161"/>
      <c r="B35" s="161"/>
      <c r="C35" s="162"/>
      <c r="D35" s="169" t="s">
        <v>160</v>
      </c>
      <c r="E35" s="363"/>
      <c r="F35" s="165">
        <v>1</v>
      </c>
      <c r="G35" s="183"/>
      <c r="H35" s="165">
        <v>8</v>
      </c>
      <c r="I35" s="175">
        <f>H35/16</f>
        <v>0.5</v>
      </c>
      <c r="J35" s="167"/>
      <c r="K35" s="167"/>
      <c r="L35" s="167"/>
      <c r="M35" s="167"/>
      <c r="N35" s="168"/>
    </row>
    <row r="36" spans="1:15" x14ac:dyDescent="0.3">
      <c r="A36" s="161"/>
      <c r="B36" s="161"/>
      <c r="C36" s="162"/>
      <c r="D36" s="169" t="s">
        <v>466</v>
      </c>
      <c r="E36" s="165"/>
      <c r="F36" s="165"/>
      <c r="G36" s="183"/>
      <c r="H36" s="165"/>
      <c r="I36" s="175"/>
      <c r="J36" s="267" t="s">
        <v>469</v>
      </c>
      <c r="K36" s="167"/>
      <c r="L36" s="167"/>
      <c r="M36" s="167"/>
      <c r="N36" s="168"/>
    </row>
    <row r="37" spans="1:15" x14ac:dyDescent="0.3">
      <c r="A37" s="161" t="s">
        <v>157</v>
      </c>
      <c r="B37" s="161" t="s">
        <v>157</v>
      </c>
      <c r="C37" s="162"/>
      <c r="D37" s="169" t="s">
        <v>470</v>
      </c>
      <c r="E37" s="165"/>
      <c r="F37" s="165"/>
      <c r="G37" s="183"/>
      <c r="H37" s="165"/>
      <c r="I37" s="175"/>
      <c r="J37" s="167" t="s">
        <v>471</v>
      </c>
      <c r="K37" s="167"/>
      <c r="L37" s="167"/>
      <c r="M37" s="167"/>
      <c r="N37" s="168"/>
    </row>
    <row r="38" spans="1:15" x14ac:dyDescent="0.3">
      <c r="J38" s="167"/>
      <c r="K38" s="167"/>
      <c r="L38" s="167"/>
      <c r="M38" s="167"/>
      <c r="N38" s="168"/>
      <c r="O38" t="s">
        <v>432</v>
      </c>
    </row>
    <row r="39" spans="1:15" x14ac:dyDescent="0.3">
      <c r="A39" s="161"/>
      <c r="B39" s="161"/>
      <c r="C39" s="162"/>
      <c r="D39" s="169" t="s">
        <v>220</v>
      </c>
      <c r="E39" s="165" t="s">
        <v>124</v>
      </c>
      <c r="F39" s="165">
        <v>1</v>
      </c>
      <c r="G39" s="165"/>
      <c r="H39" s="165">
        <f>I39*16</f>
        <v>104</v>
      </c>
      <c r="I39" s="166">
        <v>6.5</v>
      </c>
      <c r="J39" s="167"/>
      <c r="K39" s="167"/>
      <c r="L39" s="167"/>
      <c r="M39" s="167"/>
      <c r="N39" s="168"/>
    </row>
    <row r="40" spans="1:15" s="79" customFormat="1" x14ac:dyDescent="0.3">
      <c r="A40" s="268"/>
      <c r="B40" s="268"/>
      <c r="C40" s="269"/>
      <c r="D40" s="181" t="s">
        <v>491</v>
      </c>
      <c r="E40" s="182" t="s">
        <v>490</v>
      </c>
      <c r="F40" s="182"/>
      <c r="G40" s="182"/>
      <c r="H40" s="182">
        <v>40</v>
      </c>
      <c r="I40" s="270"/>
      <c r="J40" s="271"/>
      <c r="K40" s="271"/>
      <c r="L40" s="271"/>
      <c r="M40" s="271"/>
      <c r="N40" s="272"/>
    </row>
    <row r="41" spans="1:15" s="79" customFormat="1" x14ac:dyDescent="0.3">
      <c r="A41" s="268"/>
      <c r="B41" s="268"/>
      <c r="C41" s="269"/>
      <c r="D41" s="181" t="s">
        <v>493</v>
      </c>
      <c r="E41" s="182" t="s">
        <v>494</v>
      </c>
      <c r="F41" s="182">
        <v>15</v>
      </c>
      <c r="G41" s="182"/>
      <c r="H41" s="182"/>
      <c r="I41" s="270"/>
      <c r="J41" s="271"/>
      <c r="K41" s="271"/>
      <c r="L41" s="271"/>
      <c r="M41" s="271"/>
      <c r="N41" s="272"/>
    </row>
    <row r="42" spans="1:15" x14ac:dyDescent="0.3">
      <c r="A42" s="161"/>
      <c r="B42" s="161"/>
      <c r="C42" s="162"/>
      <c r="D42" s="169" t="s">
        <v>221</v>
      </c>
      <c r="E42" s="165" t="s">
        <v>619</v>
      </c>
      <c r="F42" s="165">
        <v>1</v>
      </c>
      <c r="G42" s="165"/>
      <c r="H42" s="165">
        <v>15.9</v>
      </c>
      <c r="I42" s="175">
        <f>H42/16</f>
        <v>0.99375000000000002</v>
      </c>
      <c r="J42" s="167"/>
      <c r="K42" s="167"/>
      <c r="L42" s="167"/>
      <c r="M42" s="167"/>
      <c r="N42" s="168"/>
    </row>
    <row r="43" spans="1:15" x14ac:dyDescent="0.3">
      <c r="A43" s="161"/>
      <c r="B43" s="161"/>
      <c r="C43" s="162"/>
      <c r="D43" s="169" t="s">
        <v>620</v>
      </c>
      <c r="E43" s="165" t="s">
        <v>621</v>
      </c>
      <c r="F43" s="165"/>
      <c r="G43" s="165"/>
      <c r="H43" s="165"/>
      <c r="I43" s="175"/>
      <c r="J43" s="167"/>
      <c r="K43" s="167"/>
      <c r="L43" s="167"/>
      <c r="M43" s="167"/>
      <c r="N43" s="168"/>
    </row>
    <row r="44" spans="1:15" x14ac:dyDescent="0.3">
      <c r="A44" s="161"/>
      <c r="B44" s="161"/>
      <c r="C44" s="162"/>
      <c r="D44" s="169" t="s">
        <v>492</v>
      </c>
      <c r="E44" s="165" t="s">
        <v>166</v>
      </c>
      <c r="F44" s="165">
        <v>10</v>
      </c>
      <c r="G44" s="165"/>
      <c r="H44" s="165"/>
      <c r="I44" s="175">
        <f>H44/16</f>
        <v>0</v>
      </c>
      <c r="J44" s="167" t="s">
        <v>436</v>
      </c>
      <c r="K44" s="167"/>
      <c r="L44" s="167"/>
      <c r="M44" s="167"/>
      <c r="N44" s="168"/>
    </row>
    <row r="45" spans="1:15" x14ac:dyDescent="0.3">
      <c r="A45" s="161"/>
      <c r="B45" s="161"/>
      <c r="C45" s="162"/>
      <c r="D45" s="169" t="s">
        <v>146</v>
      </c>
      <c r="E45" s="165"/>
      <c r="F45" s="165"/>
      <c r="G45" s="165"/>
      <c r="H45" s="165"/>
      <c r="I45" s="166"/>
      <c r="J45" s="167"/>
      <c r="K45" s="167"/>
      <c r="L45" s="167"/>
      <c r="M45" s="167"/>
      <c r="N45" s="168"/>
    </row>
    <row r="46" spans="1:15" x14ac:dyDescent="0.3">
      <c r="A46" s="161" t="s">
        <v>157</v>
      </c>
      <c r="B46" s="161" t="s">
        <v>157</v>
      </c>
      <c r="C46" s="162"/>
      <c r="D46" s="169" t="s">
        <v>409</v>
      </c>
      <c r="E46" s="165"/>
      <c r="F46" s="165"/>
      <c r="G46" s="165"/>
      <c r="H46" s="165"/>
      <c r="I46" s="166"/>
      <c r="J46" s="167"/>
      <c r="K46" s="167"/>
      <c r="L46" s="167"/>
      <c r="M46" s="167"/>
      <c r="N46" s="168"/>
    </row>
    <row r="47" spans="1:15" x14ac:dyDescent="0.3">
      <c r="A47" s="161"/>
      <c r="B47" s="161"/>
      <c r="C47" s="162"/>
      <c r="D47" s="169" t="s">
        <v>413</v>
      </c>
      <c r="E47" s="165" t="s">
        <v>622</v>
      </c>
      <c r="F47" s="165"/>
      <c r="G47" s="165"/>
      <c r="H47" s="165">
        <v>7.5</v>
      </c>
      <c r="I47" s="175">
        <f>H47/16</f>
        <v>0.46875</v>
      </c>
      <c r="J47" s="167"/>
      <c r="K47" s="167"/>
      <c r="L47" s="167"/>
      <c r="M47" s="167"/>
      <c r="N47" s="168"/>
    </row>
    <row r="48" spans="1:15" x14ac:dyDescent="0.3">
      <c r="A48" s="161"/>
      <c r="B48" s="161" t="s">
        <v>157</v>
      </c>
      <c r="C48" s="162"/>
      <c r="D48" s="169" t="s">
        <v>134</v>
      </c>
      <c r="E48" s="165" t="s">
        <v>623</v>
      </c>
      <c r="F48" s="165"/>
      <c r="G48" s="183">
        <v>151</v>
      </c>
      <c r="H48" s="165">
        <v>15.9</v>
      </c>
      <c r="I48" s="175">
        <f>H48/16</f>
        <v>0.99375000000000002</v>
      </c>
      <c r="J48" s="167"/>
      <c r="K48" s="167"/>
      <c r="L48" s="167"/>
      <c r="M48" s="167"/>
      <c r="N48" s="168"/>
    </row>
    <row r="49" spans="1:15" x14ac:dyDescent="0.3">
      <c r="A49" s="161"/>
      <c r="B49" s="161" t="s">
        <v>157</v>
      </c>
      <c r="C49" s="162"/>
      <c r="D49" s="169" t="s">
        <v>628</v>
      </c>
      <c r="E49" s="165" t="s">
        <v>629</v>
      </c>
      <c r="F49" s="165"/>
      <c r="G49" s="183"/>
      <c r="H49" s="165"/>
      <c r="I49" s="175"/>
      <c r="J49" s="167"/>
      <c r="K49" s="167"/>
      <c r="L49" s="167"/>
      <c r="M49" s="167"/>
      <c r="N49" s="168"/>
    </row>
    <row r="50" spans="1:15" x14ac:dyDescent="0.3">
      <c r="A50" s="161" t="s">
        <v>157</v>
      </c>
      <c r="B50" s="161"/>
      <c r="C50" s="162"/>
      <c r="D50" s="169" t="s">
        <v>411</v>
      </c>
      <c r="E50" s="165" t="s">
        <v>624</v>
      </c>
      <c r="F50" s="165"/>
      <c r="G50" s="183"/>
      <c r="H50" s="165">
        <v>48.3</v>
      </c>
      <c r="I50" s="175">
        <f>H50/16</f>
        <v>3.0187499999999998</v>
      </c>
      <c r="J50" s="167"/>
      <c r="K50" s="167"/>
      <c r="L50" s="167"/>
      <c r="M50" s="167"/>
      <c r="N50" s="168"/>
    </row>
    <row r="51" spans="1:15" x14ac:dyDescent="0.3">
      <c r="A51" s="161" t="s">
        <v>157</v>
      </c>
      <c r="B51" s="161"/>
      <c r="C51" s="162"/>
      <c r="D51" s="169" t="s">
        <v>439</v>
      </c>
      <c r="E51" s="165" t="s">
        <v>625</v>
      </c>
      <c r="F51" s="165"/>
      <c r="G51" s="183"/>
      <c r="H51" s="165"/>
      <c r="I51" s="175"/>
      <c r="J51" s="167"/>
      <c r="K51" s="167"/>
      <c r="L51" s="167"/>
      <c r="M51" s="167"/>
      <c r="N51" s="168"/>
    </row>
    <row r="52" spans="1:15" ht="16.8" x14ac:dyDescent="0.3">
      <c r="A52" s="161" t="s">
        <v>157</v>
      </c>
      <c r="B52" s="161"/>
      <c r="C52" s="162"/>
      <c r="D52" s="169" t="s">
        <v>496</v>
      </c>
      <c r="E52" s="165" t="s">
        <v>498</v>
      </c>
      <c r="F52" s="165"/>
      <c r="G52" s="183"/>
      <c r="H52" s="165"/>
      <c r="I52" s="175"/>
      <c r="J52" s="167"/>
      <c r="K52" s="167"/>
      <c r="L52" s="167"/>
      <c r="M52" s="167"/>
      <c r="N52" s="168"/>
      <c r="O52" s="263" t="s">
        <v>605</v>
      </c>
    </row>
    <row r="53" spans="1:15" ht="16.8" x14ac:dyDescent="0.3">
      <c r="A53" s="161" t="s">
        <v>157</v>
      </c>
      <c r="B53" s="161"/>
      <c r="C53" s="162"/>
      <c r="D53" s="169" t="s">
        <v>497</v>
      </c>
      <c r="E53" s="165" t="s">
        <v>498</v>
      </c>
      <c r="F53" s="165"/>
      <c r="G53" s="183"/>
      <c r="H53" s="165"/>
      <c r="I53" s="175"/>
      <c r="J53" s="167"/>
      <c r="K53" s="167"/>
      <c r="L53" s="167"/>
      <c r="M53" s="167"/>
      <c r="N53" s="168"/>
      <c r="O53" s="263"/>
    </row>
    <row r="54" spans="1:15" x14ac:dyDescent="0.3">
      <c r="A54" s="161" t="s">
        <v>157</v>
      </c>
      <c r="B54" s="161"/>
      <c r="C54" s="162"/>
      <c r="D54" s="169" t="s">
        <v>229</v>
      </c>
      <c r="E54" s="165" t="s">
        <v>626</v>
      </c>
      <c r="F54" s="165"/>
      <c r="G54" s="183">
        <v>144</v>
      </c>
      <c r="H54" s="165">
        <v>14</v>
      </c>
      <c r="I54" s="175">
        <f>H54/16</f>
        <v>0.875</v>
      </c>
      <c r="J54" s="167"/>
      <c r="K54" s="167"/>
      <c r="L54" s="167"/>
      <c r="M54" s="167"/>
      <c r="N54" s="168"/>
    </row>
    <row r="55" spans="1:15" x14ac:dyDescent="0.3">
      <c r="A55" s="161"/>
      <c r="B55" s="161"/>
      <c r="C55" s="162"/>
      <c r="D55" s="169" t="s">
        <v>230</v>
      </c>
      <c r="E55" s="165" t="s">
        <v>440</v>
      </c>
      <c r="F55" s="165">
        <v>2</v>
      </c>
      <c r="G55" s="183">
        <v>4.95</v>
      </c>
      <c r="H55" s="165">
        <v>13.4</v>
      </c>
      <c r="I55" s="175">
        <f>H55/16</f>
        <v>0.83750000000000002</v>
      </c>
      <c r="J55" s="167"/>
      <c r="K55" s="167"/>
      <c r="L55" s="167"/>
      <c r="M55" s="167"/>
      <c r="N55" s="168"/>
    </row>
    <row r="56" spans="1:15" x14ac:dyDescent="0.3">
      <c r="A56" s="161" t="s">
        <v>157</v>
      </c>
      <c r="B56" s="161" t="s">
        <v>157</v>
      </c>
      <c r="C56" s="162"/>
      <c r="D56" s="169" t="s">
        <v>225</v>
      </c>
      <c r="E56" s="165" t="s">
        <v>627</v>
      </c>
      <c r="F56" s="165"/>
      <c r="G56" s="183">
        <v>8.9499999999999993</v>
      </c>
      <c r="H56" s="165">
        <v>0.63</v>
      </c>
      <c r="I56" s="175">
        <f>H56/16</f>
        <v>3.9375E-2</v>
      </c>
      <c r="J56" s="167"/>
      <c r="K56" s="167"/>
      <c r="L56" s="167"/>
      <c r="M56" s="167"/>
      <c r="N56" s="168"/>
    </row>
    <row r="57" spans="1:15" s="79" customFormat="1" x14ac:dyDescent="0.3">
      <c r="A57" s="268"/>
      <c r="B57" s="268"/>
      <c r="C57" s="269"/>
      <c r="D57" s="181" t="s">
        <v>271</v>
      </c>
      <c r="E57" s="182"/>
      <c r="F57" s="182"/>
      <c r="G57" s="211"/>
      <c r="H57" s="182"/>
      <c r="I57" s="273"/>
      <c r="J57" s="274" t="s">
        <v>441</v>
      </c>
      <c r="K57" s="271"/>
      <c r="L57" s="271"/>
      <c r="M57" s="271"/>
      <c r="N57" s="272"/>
    </row>
    <row r="58" spans="1:15" x14ac:dyDescent="0.3">
      <c r="A58" s="161" t="s">
        <v>157</v>
      </c>
      <c r="B58" s="161" t="s">
        <v>157</v>
      </c>
      <c r="C58" s="162"/>
      <c r="D58" s="169" t="s">
        <v>227</v>
      </c>
      <c r="E58" s="165" t="s">
        <v>442</v>
      </c>
      <c r="F58" s="165"/>
      <c r="G58" s="183">
        <v>19.95</v>
      </c>
      <c r="H58" s="165">
        <v>2.7</v>
      </c>
      <c r="I58" s="175">
        <f>H58/16</f>
        <v>0.16875000000000001</v>
      </c>
      <c r="J58" s="267" t="s">
        <v>443</v>
      </c>
      <c r="K58" s="167"/>
      <c r="L58" s="167"/>
      <c r="M58" s="167"/>
      <c r="N58" s="168"/>
    </row>
    <row r="59" spans="1:15" x14ac:dyDescent="0.3">
      <c r="A59" s="161" t="s">
        <v>157</v>
      </c>
      <c r="B59" s="161" t="s">
        <v>157</v>
      </c>
      <c r="C59" s="162" t="s">
        <v>157</v>
      </c>
      <c r="D59" s="169" t="s">
        <v>72</v>
      </c>
      <c r="E59" s="165"/>
      <c r="F59" s="165"/>
      <c r="G59" s="183">
        <v>5</v>
      </c>
      <c r="H59" s="165">
        <v>4</v>
      </c>
      <c r="I59" s="175">
        <f>H59/16</f>
        <v>0.25</v>
      </c>
      <c r="J59" s="167"/>
      <c r="K59" s="167"/>
      <c r="L59" s="167"/>
      <c r="M59" s="167"/>
      <c r="N59" s="168"/>
    </row>
    <row r="60" spans="1:15" x14ac:dyDescent="0.3">
      <c r="A60" s="161"/>
      <c r="B60" s="161" t="s">
        <v>157</v>
      </c>
      <c r="C60" s="162"/>
      <c r="D60" s="169" t="s">
        <v>446</v>
      </c>
      <c r="E60" s="169" t="s">
        <v>83</v>
      </c>
      <c r="F60" s="165"/>
      <c r="G60" s="183">
        <v>59.89</v>
      </c>
      <c r="H60" s="165">
        <v>5</v>
      </c>
      <c r="I60" s="175">
        <f>H60/16</f>
        <v>0.3125</v>
      </c>
      <c r="J60" s="167"/>
      <c r="K60" s="167"/>
      <c r="L60" s="167"/>
      <c r="M60" s="167"/>
      <c r="N60" s="168"/>
    </row>
    <row r="61" spans="1:15" x14ac:dyDescent="0.3">
      <c r="A61" s="161"/>
      <c r="B61" s="161"/>
      <c r="C61" s="162"/>
      <c r="D61" s="169" t="s">
        <v>180</v>
      </c>
      <c r="E61" s="165" t="s">
        <v>447</v>
      </c>
      <c r="F61" s="165"/>
      <c r="G61" s="183"/>
      <c r="H61" s="165"/>
      <c r="I61" s="175"/>
      <c r="J61" s="167"/>
      <c r="K61" s="167"/>
      <c r="L61" s="167"/>
      <c r="M61" s="167"/>
      <c r="N61" s="168"/>
    </row>
    <row r="62" spans="1:15" x14ac:dyDescent="0.3">
      <c r="A62" s="161" t="s">
        <v>157</v>
      </c>
      <c r="B62" s="161"/>
      <c r="C62" s="162"/>
      <c r="D62" s="169" t="s">
        <v>142</v>
      </c>
      <c r="E62" s="165" t="s">
        <v>632</v>
      </c>
      <c r="F62" s="165"/>
      <c r="G62" s="183"/>
      <c r="H62" s="165"/>
      <c r="I62" s="175"/>
      <c r="J62" s="167"/>
      <c r="K62" s="167"/>
      <c r="L62" s="167"/>
      <c r="M62" s="167"/>
      <c r="N62" s="168"/>
    </row>
    <row r="63" spans="1:15" x14ac:dyDescent="0.3">
      <c r="A63" s="161" t="s">
        <v>157</v>
      </c>
      <c r="B63" s="161"/>
      <c r="C63" s="162"/>
      <c r="D63" s="169" t="s">
        <v>143</v>
      </c>
      <c r="E63" s="165"/>
      <c r="F63" s="165">
        <v>7</v>
      </c>
      <c r="G63" s="183"/>
      <c r="H63" s="165"/>
      <c r="I63" s="175"/>
      <c r="J63" s="167"/>
      <c r="K63" s="167"/>
      <c r="L63" s="167"/>
      <c r="M63" s="167"/>
      <c r="N63" s="168"/>
    </row>
    <row r="64" spans="1:15" x14ac:dyDescent="0.3">
      <c r="A64" s="161" t="s">
        <v>157</v>
      </c>
      <c r="B64" s="161"/>
      <c r="C64" s="162"/>
      <c r="D64" s="169" t="s">
        <v>474</v>
      </c>
      <c r="E64" s="165" t="s">
        <v>608</v>
      </c>
      <c r="F64" s="165">
        <v>3</v>
      </c>
      <c r="G64" s="165"/>
      <c r="H64" s="165"/>
      <c r="I64" s="175"/>
      <c r="J64" s="267" t="s">
        <v>476</v>
      </c>
      <c r="K64" s="167"/>
      <c r="L64" s="167"/>
      <c r="M64" s="167"/>
      <c r="N64" s="168"/>
    </row>
    <row r="65" spans="1:15" ht="28.8" x14ac:dyDescent="0.3">
      <c r="A65" s="161" t="s">
        <v>157</v>
      </c>
      <c r="B65" s="161"/>
      <c r="C65" s="162"/>
      <c r="D65" s="169" t="s">
        <v>328</v>
      </c>
      <c r="E65" s="165" t="s">
        <v>609</v>
      </c>
      <c r="F65" s="165">
        <v>6</v>
      </c>
      <c r="G65" s="165"/>
      <c r="H65" s="165">
        <v>0.7</v>
      </c>
      <c r="I65" s="175">
        <f>H65/16</f>
        <v>4.3749999999999997E-2</v>
      </c>
      <c r="J65" s="267" t="s">
        <v>606</v>
      </c>
      <c r="K65" s="167"/>
      <c r="L65" s="167"/>
      <c r="M65" s="167"/>
      <c r="N65" s="168"/>
      <c r="O65" s="26" t="s">
        <v>607</v>
      </c>
    </row>
    <row r="66" spans="1:15" ht="15" thickBot="1" x14ac:dyDescent="0.35">
      <c r="A66" s="161"/>
      <c r="B66" s="161" t="s">
        <v>157</v>
      </c>
      <c r="C66" s="170"/>
      <c r="D66" s="188" t="s">
        <v>120</v>
      </c>
      <c r="E66" s="189"/>
      <c r="F66" s="189">
        <v>1</v>
      </c>
      <c r="G66" s="190"/>
      <c r="H66" s="189"/>
      <c r="I66" s="191"/>
      <c r="J66" s="267" t="s">
        <v>478</v>
      </c>
      <c r="K66" s="167"/>
      <c r="L66" s="167"/>
      <c r="M66" s="167"/>
      <c r="N66" s="168"/>
    </row>
    <row r="67" spans="1:15" x14ac:dyDescent="0.3">
      <c r="A67" s="162"/>
      <c r="B67" s="162"/>
      <c r="C67" s="192"/>
      <c r="D67" s="193" t="s">
        <v>449</v>
      </c>
      <c r="E67" s="194"/>
      <c r="F67" s="194"/>
      <c r="G67" s="195"/>
      <c r="H67" s="194"/>
      <c r="I67" s="196"/>
      <c r="J67" s="167"/>
      <c r="K67" s="167"/>
      <c r="L67" s="167"/>
      <c r="M67" s="167"/>
      <c r="N67" s="168"/>
    </row>
    <row r="68" spans="1:15" s="79" customFormat="1" x14ac:dyDescent="0.3">
      <c r="A68" s="269"/>
      <c r="B68" s="269" t="s">
        <v>157</v>
      </c>
      <c r="C68" s="269"/>
      <c r="D68" s="181" t="s">
        <v>277</v>
      </c>
      <c r="E68" s="182" t="s">
        <v>564</v>
      </c>
      <c r="F68" s="182">
        <v>1</v>
      </c>
      <c r="G68" s="211">
        <v>4.95</v>
      </c>
      <c r="H68" s="182"/>
      <c r="I68" s="273"/>
      <c r="J68" s="271"/>
      <c r="K68" s="271"/>
      <c r="L68" s="271"/>
      <c r="M68" s="271"/>
      <c r="N68" s="272"/>
    </row>
    <row r="69" spans="1:15" s="79" customFormat="1" x14ac:dyDescent="0.3">
      <c r="A69" s="269"/>
      <c r="B69" s="269"/>
      <c r="C69" s="269"/>
      <c r="D69" s="181" t="s">
        <v>139</v>
      </c>
      <c r="E69" s="182" t="s">
        <v>564</v>
      </c>
      <c r="F69" s="182">
        <v>1</v>
      </c>
      <c r="G69" s="211"/>
      <c r="H69" s="182"/>
      <c r="I69" s="273"/>
      <c r="J69" s="271"/>
      <c r="K69" s="271"/>
      <c r="L69" s="271"/>
      <c r="M69" s="271"/>
      <c r="N69" s="272"/>
    </row>
    <row r="70" spans="1:15" x14ac:dyDescent="0.3">
      <c r="A70" s="162"/>
      <c r="B70" s="162" t="s">
        <v>157</v>
      </c>
      <c r="C70" s="162"/>
      <c r="D70" s="169" t="s">
        <v>144</v>
      </c>
      <c r="E70" s="165"/>
      <c r="F70" s="165">
        <v>2</v>
      </c>
      <c r="G70" s="183"/>
      <c r="H70" s="165"/>
      <c r="I70" s="175"/>
      <c r="J70" s="167"/>
      <c r="K70" s="167"/>
      <c r="L70" s="167"/>
      <c r="M70" s="167"/>
      <c r="N70" s="168"/>
    </row>
    <row r="71" spans="1:15" s="79" customFormat="1" x14ac:dyDescent="0.3">
      <c r="A71" s="269"/>
      <c r="B71" s="269" t="s">
        <v>157</v>
      </c>
      <c r="C71" s="269"/>
      <c r="D71" s="181" t="s">
        <v>140</v>
      </c>
      <c r="E71" s="182"/>
      <c r="F71" s="182">
        <v>28</v>
      </c>
      <c r="G71" s="211"/>
      <c r="H71" s="182"/>
      <c r="I71" s="273"/>
      <c r="J71" s="271"/>
      <c r="K71" s="271"/>
      <c r="L71" s="271"/>
      <c r="M71" s="271"/>
      <c r="N71" s="272"/>
    </row>
    <row r="72" spans="1:15" x14ac:dyDescent="0.3">
      <c r="A72" s="162"/>
      <c r="B72" s="162" t="s">
        <v>157</v>
      </c>
      <c r="C72" s="162"/>
      <c r="D72" s="169" t="s">
        <v>204</v>
      </c>
      <c r="E72" s="165"/>
      <c r="F72" s="165">
        <v>1</v>
      </c>
      <c r="G72" s="183"/>
      <c r="H72" s="165"/>
      <c r="I72" s="175"/>
      <c r="J72" s="167"/>
      <c r="K72" s="167"/>
      <c r="L72" s="167"/>
      <c r="M72" s="167"/>
      <c r="N72" s="168"/>
    </row>
    <row r="73" spans="1:15" x14ac:dyDescent="0.3">
      <c r="A73" s="162"/>
      <c r="B73" s="162" t="s">
        <v>157</v>
      </c>
      <c r="C73" s="162"/>
      <c r="D73" s="169" t="s">
        <v>231</v>
      </c>
      <c r="E73" s="165" t="s">
        <v>564</v>
      </c>
      <c r="F73" s="165">
        <v>1</v>
      </c>
      <c r="G73" s="183"/>
      <c r="H73" s="165"/>
      <c r="I73" s="175"/>
      <c r="J73" s="267" t="s">
        <v>454</v>
      </c>
      <c r="K73" s="167"/>
      <c r="L73" s="167"/>
      <c r="M73" s="167"/>
      <c r="N73" s="168"/>
    </row>
    <row r="74" spans="1:15" x14ac:dyDescent="0.3">
      <c r="A74" s="162"/>
      <c r="B74" s="162" t="s">
        <v>157</v>
      </c>
      <c r="C74" s="162" t="s">
        <v>167</v>
      </c>
      <c r="D74" s="169" t="s">
        <v>455</v>
      </c>
      <c r="E74" s="165" t="s">
        <v>633</v>
      </c>
      <c r="F74" s="165">
        <v>1</v>
      </c>
      <c r="G74" s="183"/>
      <c r="H74" s="165"/>
      <c r="I74" s="175"/>
      <c r="J74" s="167" t="s">
        <v>457</v>
      </c>
      <c r="K74" s="167"/>
      <c r="L74" s="167"/>
      <c r="M74" s="167"/>
      <c r="N74" s="168"/>
    </row>
    <row r="75" spans="1:15" x14ac:dyDescent="0.3">
      <c r="A75" s="162"/>
      <c r="B75" s="162" t="s">
        <v>157</v>
      </c>
      <c r="C75" s="162" t="s">
        <v>167</v>
      </c>
      <c r="D75" s="169" t="s">
        <v>456</v>
      </c>
      <c r="E75" s="165" t="s">
        <v>566</v>
      </c>
      <c r="F75" s="165">
        <v>1</v>
      </c>
      <c r="G75" s="183"/>
      <c r="H75" s="165"/>
      <c r="I75" s="175"/>
      <c r="J75" s="167" t="s">
        <v>457</v>
      </c>
      <c r="K75" s="167"/>
      <c r="L75" s="167"/>
      <c r="M75" s="167"/>
      <c r="N75" s="168"/>
    </row>
    <row r="76" spans="1:15" x14ac:dyDescent="0.3">
      <c r="A76" s="162"/>
      <c r="B76" s="162"/>
      <c r="C76" s="162"/>
      <c r="D76" s="169" t="s">
        <v>198</v>
      </c>
      <c r="E76" s="165"/>
      <c r="F76" s="165"/>
      <c r="G76" s="183"/>
      <c r="H76" s="165"/>
      <c r="I76" s="175"/>
      <c r="J76" s="167" t="s">
        <v>451</v>
      </c>
      <c r="K76" s="167"/>
      <c r="L76" s="167"/>
      <c r="M76" s="167"/>
      <c r="N76" s="168"/>
    </row>
    <row r="77" spans="1:15" x14ac:dyDescent="0.3">
      <c r="A77" s="162"/>
      <c r="B77" s="162" t="s">
        <v>157</v>
      </c>
      <c r="C77" s="162"/>
      <c r="D77" s="169" t="s">
        <v>209</v>
      </c>
      <c r="E77" s="165" t="s">
        <v>634</v>
      </c>
      <c r="F77" s="165">
        <v>10</v>
      </c>
      <c r="G77" s="165"/>
      <c r="H77" s="165"/>
      <c r="I77" s="166"/>
      <c r="J77" s="167" t="s">
        <v>453</v>
      </c>
      <c r="K77" s="167"/>
      <c r="L77" s="167"/>
      <c r="M77" s="167"/>
      <c r="N77" s="168"/>
    </row>
    <row r="78" spans="1:15" s="79" customFormat="1" x14ac:dyDescent="0.3">
      <c r="A78" s="269"/>
      <c r="B78" s="269"/>
      <c r="C78" s="277"/>
      <c r="D78" s="278" t="s">
        <v>602</v>
      </c>
      <c r="E78" s="279"/>
      <c r="F78" s="279"/>
      <c r="G78" s="279"/>
      <c r="H78" s="279"/>
      <c r="I78" s="280"/>
      <c r="J78" s="271"/>
      <c r="K78" s="271"/>
      <c r="L78" s="271"/>
      <c r="M78" s="271"/>
      <c r="N78" s="272"/>
    </row>
    <row r="79" spans="1:15" x14ac:dyDescent="0.3">
      <c r="A79" s="162"/>
      <c r="B79" s="162"/>
      <c r="C79" s="170"/>
      <c r="D79" s="188" t="s">
        <v>601</v>
      </c>
      <c r="E79" s="189"/>
      <c r="F79" s="189"/>
      <c r="G79" s="189"/>
      <c r="H79" s="189"/>
      <c r="I79" s="197"/>
      <c r="J79" s="167"/>
      <c r="K79" s="167"/>
      <c r="L79" s="167"/>
      <c r="M79" s="167"/>
      <c r="N79" s="168"/>
    </row>
    <row r="80" spans="1:15" x14ac:dyDescent="0.3">
      <c r="A80" s="162"/>
      <c r="B80" s="162" t="s">
        <v>157</v>
      </c>
      <c r="C80" s="170"/>
      <c r="D80" s="188" t="s">
        <v>5</v>
      </c>
      <c r="E80" s="189" t="s">
        <v>85</v>
      </c>
      <c r="F80" s="189"/>
      <c r="G80" s="190">
        <v>50</v>
      </c>
      <c r="H80" s="189">
        <v>4.2</v>
      </c>
      <c r="I80" s="191">
        <f>H80/16</f>
        <v>0.26250000000000001</v>
      </c>
      <c r="J80" s="167"/>
      <c r="K80" s="167"/>
      <c r="L80" s="167"/>
      <c r="M80" s="167"/>
      <c r="N80" s="168"/>
    </row>
    <row r="81" spans="1:14" x14ac:dyDescent="0.3">
      <c r="A81" s="162"/>
      <c r="B81" s="162" t="s">
        <v>157</v>
      </c>
      <c r="C81" s="192"/>
      <c r="D81" s="193" t="s">
        <v>458</v>
      </c>
      <c r="E81" s="194"/>
      <c r="F81" s="194"/>
      <c r="G81" s="195"/>
      <c r="H81" s="194"/>
      <c r="I81" s="196"/>
      <c r="J81" s="167"/>
      <c r="K81" s="167"/>
      <c r="L81" s="167"/>
      <c r="M81" s="167"/>
      <c r="N81" s="168"/>
    </row>
    <row r="82" spans="1:14" x14ac:dyDescent="0.3">
      <c r="A82" s="161"/>
      <c r="B82" s="161" t="s">
        <v>157</v>
      </c>
      <c r="C82" s="162"/>
      <c r="D82" s="169" t="s">
        <v>135</v>
      </c>
      <c r="E82" s="165" t="s">
        <v>635</v>
      </c>
      <c r="F82" s="165">
        <v>1</v>
      </c>
      <c r="G82" s="183"/>
      <c r="H82" s="165"/>
      <c r="I82" s="175"/>
      <c r="J82" s="267" t="s">
        <v>461</v>
      </c>
      <c r="K82" s="167"/>
      <c r="L82" s="167"/>
      <c r="M82" s="167"/>
      <c r="N82" s="168"/>
    </row>
    <row r="83" spans="1:14" x14ac:dyDescent="0.3">
      <c r="A83" s="161"/>
      <c r="B83" s="161" t="s">
        <v>157</v>
      </c>
      <c r="C83" s="162"/>
      <c r="D83" s="169" t="s">
        <v>444</v>
      </c>
      <c r="E83" s="169" t="s">
        <v>597</v>
      </c>
      <c r="F83" s="165">
        <v>1</v>
      </c>
      <c r="G83" s="183">
        <v>299</v>
      </c>
      <c r="H83" s="165">
        <v>3.5</v>
      </c>
      <c r="I83" s="175">
        <f>H83/16</f>
        <v>0.21875</v>
      </c>
      <c r="J83" s="167" t="s">
        <v>445</v>
      </c>
      <c r="K83" s="167"/>
      <c r="L83" s="167"/>
      <c r="M83" s="167"/>
      <c r="N83" s="168"/>
    </row>
    <row r="84" spans="1:14" x14ac:dyDescent="0.3">
      <c r="A84" s="162"/>
      <c r="B84" s="162" t="s">
        <v>157</v>
      </c>
      <c r="C84" s="162"/>
      <c r="D84" s="169" t="s">
        <v>459</v>
      </c>
      <c r="E84" s="165"/>
      <c r="F84" s="165">
        <v>1</v>
      </c>
      <c r="G84" s="183"/>
      <c r="H84" s="165"/>
      <c r="I84" s="175"/>
      <c r="J84" s="167"/>
      <c r="K84" s="167"/>
      <c r="L84" s="167"/>
      <c r="M84" s="167"/>
      <c r="N84" s="168"/>
    </row>
    <row r="85" spans="1:14" x14ac:dyDescent="0.3">
      <c r="A85" s="162"/>
      <c r="B85" s="162" t="s">
        <v>157</v>
      </c>
      <c r="C85" s="162"/>
      <c r="D85" s="169" t="s">
        <v>460</v>
      </c>
      <c r="E85" s="165"/>
      <c r="F85" s="165">
        <v>1</v>
      </c>
      <c r="G85" s="183"/>
      <c r="H85" s="165"/>
      <c r="I85" s="175"/>
      <c r="J85" s="167"/>
      <c r="K85" s="167"/>
      <c r="L85" s="167"/>
      <c r="M85" s="167"/>
      <c r="N85" s="168"/>
    </row>
    <row r="86" spans="1:14" x14ac:dyDescent="0.3">
      <c r="A86" s="162"/>
      <c r="B86" s="162"/>
      <c r="C86" s="170"/>
      <c r="D86" s="198"/>
      <c r="E86" s="185"/>
      <c r="F86" s="185"/>
      <c r="G86" s="199"/>
      <c r="H86" s="185"/>
      <c r="I86" s="200"/>
      <c r="J86" s="167"/>
      <c r="K86" s="167"/>
      <c r="L86" s="167"/>
      <c r="M86" s="167"/>
      <c r="N86" s="168"/>
    </row>
    <row r="87" spans="1:14" x14ac:dyDescent="0.3">
      <c r="A87" s="162"/>
      <c r="B87" s="162"/>
      <c r="C87" s="192"/>
      <c r="D87" s="201" t="s">
        <v>555</v>
      </c>
      <c r="E87" s="202"/>
      <c r="F87" s="202"/>
      <c r="G87" s="203"/>
      <c r="H87" s="202"/>
      <c r="I87" s="204"/>
      <c r="J87" s="167"/>
      <c r="K87" s="167"/>
      <c r="L87" s="167"/>
      <c r="M87" s="167"/>
      <c r="N87" s="168"/>
    </row>
    <row r="88" spans="1:14" x14ac:dyDescent="0.3">
      <c r="A88" s="162" t="s">
        <v>611</v>
      </c>
      <c r="B88" s="162" t="s">
        <v>157</v>
      </c>
      <c r="C88" s="192"/>
      <c r="D88" s="205" t="s">
        <v>560</v>
      </c>
      <c r="E88" s="202"/>
      <c r="F88" s="202">
        <v>2</v>
      </c>
      <c r="G88" s="203"/>
      <c r="H88" s="202"/>
      <c r="I88" s="204"/>
      <c r="J88" s="167"/>
      <c r="K88" s="167"/>
      <c r="L88" s="167"/>
      <c r="M88" s="167"/>
      <c r="N88" s="168"/>
    </row>
    <row r="89" spans="1:14" x14ac:dyDescent="0.3">
      <c r="A89" s="162" t="s">
        <v>157</v>
      </c>
      <c r="B89" s="162" t="s">
        <v>157</v>
      </c>
      <c r="C89" s="192"/>
      <c r="D89" s="205" t="s">
        <v>539</v>
      </c>
      <c r="E89" s="202"/>
      <c r="F89" s="202">
        <v>4</v>
      </c>
      <c r="G89" s="203"/>
      <c r="H89" s="202"/>
      <c r="I89" s="204"/>
      <c r="J89" s="167"/>
      <c r="K89" s="167"/>
      <c r="L89" s="167"/>
      <c r="M89" s="167"/>
      <c r="N89" s="168"/>
    </row>
    <row r="90" spans="1:14" x14ac:dyDescent="0.3">
      <c r="A90" s="162" t="s">
        <v>157</v>
      </c>
      <c r="B90" s="162" t="s">
        <v>157</v>
      </c>
      <c r="C90" s="192"/>
      <c r="D90" s="205" t="s">
        <v>540</v>
      </c>
      <c r="E90" s="202"/>
      <c r="F90" s="202">
        <v>4</v>
      </c>
      <c r="G90" s="203"/>
      <c r="H90" s="202"/>
      <c r="I90" s="204"/>
      <c r="J90" s="167"/>
      <c r="K90" s="167"/>
      <c r="L90" s="167"/>
      <c r="M90" s="167"/>
      <c r="N90" s="168"/>
    </row>
    <row r="91" spans="1:14" x14ac:dyDescent="0.3">
      <c r="A91" s="162"/>
      <c r="B91" s="162" t="s">
        <v>157</v>
      </c>
      <c r="C91" s="192"/>
      <c r="D91" s="205" t="s">
        <v>542</v>
      </c>
      <c r="E91" s="202"/>
      <c r="F91" s="202">
        <v>4</v>
      </c>
      <c r="G91" s="203"/>
      <c r="H91" s="202"/>
      <c r="I91" s="204"/>
      <c r="J91" s="167"/>
      <c r="K91" s="167"/>
      <c r="L91" s="167"/>
      <c r="M91" s="167"/>
      <c r="N91" s="168"/>
    </row>
    <row r="92" spans="1:14" x14ac:dyDescent="0.3">
      <c r="A92" s="162" t="s">
        <v>157</v>
      </c>
      <c r="B92" s="162" t="s">
        <v>157</v>
      </c>
      <c r="C92" s="192"/>
      <c r="D92" s="205" t="s">
        <v>551</v>
      </c>
      <c r="E92" s="202"/>
      <c r="F92" s="202">
        <v>4</v>
      </c>
      <c r="G92" s="203"/>
      <c r="H92" s="202"/>
      <c r="I92" s="204"/>
      <c r="J92" s="167"/>
      <c r="K92" s="167"/>
      <c r="L92" s="167"/>
      <c r="M92" s="167"/>
      <c r="N92" s="168"/>
    </row>
    <row r="93" spans="1:14" x14ac:dyDescent="0.3">
      <c r="A93" s="162" t="s">
        <v>157</v>
      </c>
      <c r="B93" s="162" t="s">
        <v>157</v>
      </c>
      <c r="C93" s="192"/>
      <c r="D93" s="205" t="s">
        <v>554</v>
      </c>
      <c r="E93" s="202"/>
      <c r="F93" s="202">
        <v>2</v>
      </c>
      <c r="G93" s="203"/>
      <c r="H93" s="202"/>
      <c r="I93" s="204"/>
      <c r="J93" s="167"/>
      <c r="K93" s="167"/>
      <c r="L93" s="167"/>
      <c r="M93" s="167"/>
      <c r="N93" s="168"/>
    </row>
    <row r="94" spans="1:14" x14ac:dyDescent="0.3">
      <c r="A94" s="162" t="s">
        <v>157</v>
      </c>
      <c r="B94" s="162" t="s">
        <v>157</v>
      </c>
      <c r="C94" s="192"/>
      <c r="D94" s="205" t="s">
        <v>552</v>
      </c>
      <c r="E94" s="202"/>
      <c r="F94" s="202">
        <v>2</v>
      </c>
      <c r="G94" s="203"/>
      <c r="H94" s="202"/>
      <c r="I94" s="204"/>
      <c r="J94" s="167"/>
      <c r="K94" s="167"/>
      <c r="L94" s="167"/>
      <c r="M94" s="167"/>
      <c r="N94" s="168"/>
    </row>
    <row r="95" spans="1:14" x14ac:dyDescent="0.3">
      <c r="A95" s="162"/>
      <c r="B95" s="162"/>
      <c r="C95" s="192"/>
      <c r="D95" s="205" t="s">
        <v>553</v>
      </c>
      <c r="E95" s="202"/>
      <c r="F95" s="202">
        <v>1</v>
      </c>
      <c r="G95" s="203"/>
      <c r="H95" s="202"/>
      <c r="I95" s="204"/>
      <c r="J95" s="167"/>
      <c r="K95" s="167"/>
      <c r="L95" s="167"/>
      <c r="M95" s="167"/>
      <c r="N95" s="168"/>
    </row>
    <row r="96" spans="1:14" x14ac:dyDescent="0.3">
      <c r="A96" s="162" t="s">
        <v>157</v>
      </c>
      <c r="B96" s="162" t="s">
        <v>157</v>
      </c>
      <c r="C96" s="192"/>
      <c r="D96" s="205" t="s">
        <v>544</v>
      </c>
      <c r="E96" s="202" t="s">
        <v>545</v>
      </c>
      <c r="F96" s="202">
        <v>20</v>
      </c>
      <c r="G96" s="203"/>
      <c r="H96" s="202"/>
      <c r="I96" s="204"/>
      <c r="J96" s="167"/>
      <c r="K96" s="167"/>
      <c r="L96" s="167"/>
      <c r="M96" s="167"/>
      <c r="N96" s="168"/>
    </row>
    <row r="97" spans="1:14" x14ac:dyDescent="0.3">
      <c r="A97" s="162"/>
      <c r="B97" s="162" t="s">
        <v>157</v>
      </c>
      <c r="C97" s="192"/>
      <c r="D97" s="205" t="s">
        <v>546</v>
      </c>
      <c r="E97" s="202"/>
      <c r="F97" s="202">
        <v>4</v>
      </c>
      <c r="G97" s="203"/>
      <c r="H97" s="202"/>
      <c r="I97" s="204"/>
      <c r="J97" s="167"/>
      <c r="K97" s="167"/>
      <c r="L97" s="167"/>
      <c r="M97" s="167"/>
      <c r="N97" s="168"/>
    </row>
    <row r="98" spans="1:14" x14ac:dyDescent="0.3">
      <c r="A98" s="162"/>
      <c r="B98" s="162" t="s">
        <v>157</v>
      </c>
      <c r="C98" s="192"/>
      <c r="D98" s="205" t="s">
        <v>550</v>
      </c>
      <c r="E98" s="202"/>
      <c r="F98" s="202">
        <v>4</v>
      </c>
      <c r="G98" s="203"/>
      <c r="H98" s="202"/>
      <c r="I98" s="204"/>
      <c r="J98" s="167"/>
      <c r="K98" s="167"/>
      <c r="L98" s="167"/>
      <c r="M98" s="167"/>
      <c r="N98" s="168"/>
    </row>
    <row r="99" spans="1:14" x14ac:dyDescent="0.3">
      <c r="A99" s="162"/>
      <c r="B99" s="162" t="s">
        <v>157</v>
      </c>
      <c r="C99" s="192"/>
      <c r="D99" s="205" t="s">
        <v>549</v>
      </c>
      <c r="E99" s="202"/>
      <c r="F99" s="202">
        <v>4</v>
      </c>
      <c r="G99" s="203"/>
      <c r="H99" s="202"/>
      <c r="I99" s="204"/>
      <c r="J99" s="167"/>
      <c r="K99" s="167"/>
      <c r="L99" s="167"/>
      <c r="M99" s="167"/>
      <c r="N99" s="168"/>
    </row>
    <row r="100" spans="1:14" x14ac:dyDescent="0.3">
      <c r="A100" s="162"/>
      <c r="B100" s="162"/>
      <c r="C100" s="192"/>
      <c r="D100" s="205" t="s">
        <v>561</v>
      </c>
      <c r="E100" s="202"/>
      <c r="F100" s="202">
        <v>1</v>
      </c>
      <c r="G100" s="203"/>
      <c r="H100" s="202"/>
      <c r="I100" s="204"/>
      <c r="J100" s="167"/>
      <c r="K100" s="167"/>
      <c r="L100" s="167"/>
      <c r="M100" s="167"/>
      <c r="N100" s="168"/>
    </row>
    <row r="101" spans="1:14" x14ac:dyDescent="0.3">
      <c r="A101" s="162"/>
      <c r="B101" s="162"/>
      <c r="C101" s="192"/>
      <c r="D101" s="205" t="s">
        <v>547</v>
      </c>
      <c r="E101" s="206" t="s">
        <v>548</v>
      </c>
      <c r="F101" s="202">
        <v>1</v>
      </c>
      <c r="G101" s="203"/>
      <c r="H101" s="202">
        <v>4.4000000000000004</v>
      </c>
      <c r="I101" s="204"/>
      <c r="J101" s="167"/>
      <c r="K101" s="167"/>
      <c r="L101" s="167"/>
      <c r="M101" s="167"/>
      <c r="N101" s="168"/>
    </row>
    <row r="102" spans="1:14" x14ac:dyDescent="0.3">
      <c r="A102" s="162"/>
      <c r="B102" s="162" t="s">
        <v>157</v>
      </c>
      <c r="C102" s="192"/>
      <c r="D102" s="205" t="s">
        <v>543</v>
      </c>
      <c r="E102" s="206"/>
      <c r="F102" s="202">
        <v>1</v>
      </c>
      <c r="G102" s="203"/>
      <c r="H102" s="202"/>
      <c r="I102" s="204"/>
      <c r="J102" s="167"/>
      <c r="K102" s="167"/>
      <c r="L102" s="167"/>
      <c r="M102" s="167"/>
      <c r="N102" s="168"/>
    </row>
    <row r="103" spans="1:14" x14ac:dyDescent="0.3">
      <c r="A103" s="162" t="s">
        <v>157</v>
      </c>
      <c r="B103" s="162" t="s">
        <v>157</v>
      </c>
      <c r="C103" s="192"/>
      <c r="D103" s="205" t="s">
        <v>541</v>
      </c>
      <c r="E103" s="206"/>
      <c r="F103" s="202">
        <v>4</v>
      </c>
      <c r="G103" s="203"/>
      <c r="H103" s="202"/>
      <c r="I103" s="204"/>
      <c r="J103" s="167"/>
      <c r="K103" s="167"/>
      <c r="L103" s="167"/>
      <c r="M103" s="167"/>
      <c r="N103" s="168"/>
    </row>
    <row r="104" spans="1:14" x14ac:dyDescent="0.3">
      <c r="A104" s="162"/>
      <c r="B104" s="162" t="s">
        <v>157</v>
      </c>
      <c r="C104" s="192"/>
      <c r="D104" s="205" t="s">
        <v>562</v>
      </c>
      <c r="E104" s="206"/>
      <c r="F104" s="202">
        <v>1</v>
      </c>
      <c r="G104" s="203"/>
      <c r="H104" s="202"/>
      <c r="I104" s="204"/>
      <c r="J104" s="167"/>
      <c r="K104" s="167"/>
      <c r="L104" s="167"/>
      <c r="M104" s="167"/>
      <c r="N104" s="168"/>
    </row>
    <row r="105" spans="1:14" x14ac:dyDescent="0.3">
      <c r="A105" s="162"/>
      <c r="B105" s="162"/>
      <c r="C105" s="192"/>
      <c r="D105" s="205"/>
      <c r="E105" s="206"/>
      <c r="F105" s="202"/>
      <c r="G105" s="203"/>
      <c r="H105" s="202"/>
      <c r="I105" s="204"/>
      <c r="J105" s="167"/>
      <c r="K105" s="167"/>
      <c r="L105" s="167"/>
      <c r="M105" s="167"/>
      <c r="N105" s="168"/>
    </row>
    <row r="106" spans="1:14" x14ac:dyDescent="0.3">
      <c r="A106" s="162"/>
      <c r="B106" s="162"/>
      <c r="C106" s="192"/>
      <c r="D106" s="201" t="s">
        <v>556</v>
      </c>
      <c r="E106" s="206"/>
      <c r="F106" s="202"/>
      <c r="G106" s="203"/>
      <c r="H106" s="202"/>
      <c r="I106" s="204"/>
      <c r="J106" s="167"/>
      <c r="K106" s="167"/>
      <c r="L106" s="167"/>
      <c r="M106" s="167"/>
      <c r="N106" s="168"/>
    </row>
    <row r="107" spans="1:14" x14ac:dyDescent="0.3">
      <c r="A107" s="162"/>
      <c r="B107" s="162" t="s">
        <v>157</v>
      </c>
      <c r="C107" s="192"/>
      <c r="D107" s="205" t="s">
        <v>557</v>
      </c>
      <c r="E107" s="266" t="s">
        <v>610</v>
      </c>
      <c r="F107" s="202">
        <v>2</v>
      </c>
      <c r="G107" s="203"/>
      <c r="H107" s="202"/>
      <c r="I107" s="204"/>
      <c r="J107" s="167"/>
      <c r="K107" s="167"/>
      <c r="L107" s="167"/>
      <c r="M107" s="167"/>
      <c r="N107" s="168"/>
    </row>
    <row r="108" spans="1:14" x14ac:dyDescent="0.3">
      <c r="A108" s="162" t="s">
        <v>157</v>
      </c>
      <c r="B108" s="162" t="s">
        <v>157</v>
      </c>
      <c r="C108" s="192"/>
      <c r="D108" s="169" t="s">
        <v>245</v>
      </c>
      <c r="E108" s="165" t="s">
        <v>246</v>
      </c>
      <c r="F108" s="165">
        <v>1</v>
      </c>
      <c r="G108" s="183">
        <v>21</v>
      </c>
      <c r="H108" s="165">
        <v>3.9</v>
      </c>
      <c r="I108" s="175">
        <f>H108/16</f>
        <v>0.24374999999999999</v>
      </c>
      <c r="J108" s="167" t="s">
        <v>468</v>
      </c>
      <c r="K108" s="167"/>
      <c r="L108" s="167"/>
      <c r="M108" s="167"/>
      <c r="N108" s="168"/>
    </row>
    <row r="109" spans="1:14" x14ac:dyDescent="0.3">
      <c r="A109" s="161" t="s">
        <v>157</v>
      </c>
      <c r="B109" s="161" t="s">
        <v>157</v>
      </c>
      <c r="C109" s="162"/>
      <c r="D109" s="169" t="s">
        <v>408</v>
      </c>
      <c r="E109" s="165" t="s">
        <v>563</v>
      </c>
      <c r="F109" s="165">
        <v>1</v>
      </c>
      <c r="G109" s="183"/>
      <c r="H109" s="165">
        <v>26</v>
      </c>
      <c r="I109" s="175">
        <f>H109/16*F109</f>
        <v>1.625</v>
      </c>
      <c r="J109" s="167"/>
      <c r="K109" s="167"/>
      <c r="L109" s="167"/>
      <c r="M109" s="167"/>
      <c r="N109" s="168"/>
    </row>
    <row r="110" spans="1:14" x14ac:dyDescent="0.3">
      <c r="A110" s="162" t="s">
        <v>157</v>
      </c>
      <c r="B110" s="162" t="s">
        <v>157</v>
      </c>
      <c r="C110" s="162"/>
      <c r="D110" s="169" t="s">
        <v>206</v>
      </c>
      <c r="E110" s="165"/>
      <c r="F110" s="165">
        <v>10</v>
      </c>
      <c r="G110" s="165"/>
      <c r="H110" s="165"/>
      <c r="I110" s="166"/>
      <c r="J110" s="167" t="s">
        <v>479</v>
      </c>
      <c r="K110" s="167"/>
      <c r="L110" s="167"/>
      <c r="M110" s="167"/>
      <c r="N110" s="168"/>
    </row>
    <row r="111" spans="1:14" x14ac:dyDescent="0.3">
      <c r="A111" s="162"/>
      <c r="B111" s="162"/>
      <c r="C111" s="162"/>
      <c r="D111" s="169" t="s">
        <v>558</v>
      </c>
      <c r="E111" s="165"/>
      <c r="F111" s="165">
        <v>1</v>
      </c>
      <c r="G111" s="183"/>
      <c r="H111" s="165"/>
      <c r="I111" s="175"/>
      <c r="J111" s="167"/>
      <c r="K111" s="167"/>
      <c r="L111" s="167"/>
      <c r="M111" s="167"/>
      <c r="N111" s="168"/>
    </row>
    <row r="112" spans="1:14" x14ac:dyDescent="0.3">
      <c r="A112" s="161" t="s">
        <v>157</v>
      </c>
      <c r="B112" s="161" t="s">
        <v>157</v>
      </c>
      <c r="C112" s="170"/>
      <c r="D112" s="170" t="s">
        <v>559</v>
      </c>
      <c r="E112" s="171"/>
      <c r="F112" s="165"/>
      <c r="G112" s="165"/>
      <c r="H112" s="165"/>
      <c r="I112" s="166"/>
      <c r="J112" s="167"/>
      <c r="K112" s="167"/>
      <c r="L112" s="167"/>
      <c r="M112" s="167"/>
      <c r="N112" s="168"/>
    </row>
    <row r="113" spans="1:14" x14ac:dyDescent="0.3">
      <c r="A113" s="161"/>
      <c r="B113" s="161"/>
      <c r="C113" s="192"/>
      <c r="D113" s="201" t="s">
        <v>187</v>
      </c>
      <c r="E113" s="207"/>
      <c r="F113" s="202"/>
      <c r="G113" s="203"/>
      <c r="H113" s="202"/>
      <c r="I113" s="208"/>
      <c r="J113" s="167"/>
      <c r="K113" s="167"/>
      <c r="L113" s="167"/>
      <c r="M113" s="167"/>
      <c r="N113" s="168"/>
    </row>
    <row r="114" spans="1:14" x14ac:dyDescent="0.3">
      <c r="A114" s="161"/>
      <c r="B114" s="161" t="s">
        <v>157</v>
      </c>
      <c r="C114" s="162"/>
      <c r="D114" s="209" t="s">
        <v>189</v>
      </c>
      <c r="E114" s="210" t="s">
        <v>272</v>
      </c>
      <c r="F114" s="165">
        <v>1</v>
      </c>
      <c r="G114" s="183">
        <v>170</v>
      </c>
      <c r="H114" s="165">
        <f>I114*16</f>
        <v>63.36</v>
      </c>
      <c r="I114" s="178">
        <v>3.96</v>
      </c>
      <c r="J114" s="167"/>
      <c r="K114" s="167"/>
      <c r="L114" s="167"/>
      <c r="M114" s="167"/>
      <c r="N114" s="168"/>
    </row>
    <row r="115" spans="1:14" x14ac:dyDescent="0.3">
      <c r="A115" s="161"/>
      <c r="B115" s="161" t="s">
        <v>157</v>
      </c>
      <c r="C115" s="162"/>
      <c r="D115" s="209" t="s">
        <v>190</v>
      </c>
      <c r="E115" s="210" t="s">
        <v>235</v>
      </c>
      <c r="F115" s="165">
        <v>1</v>
      </c>
      <c r="G115" s="183">
        <v>55</v>
      </c>
      <c r="H115" s="165"/>
      <c r="I115" s="178"/>
      <c r="J115" s="167"/>
      <c r="K115" s="167"/>
      <c r="L115" s="167"/>
      <c r="M115" s="167"/>
      <c r="N115" s="168"/>
    </row>
    <row r="116" spans="1:14" x14ac:dyDescent="0.3">
      <c r="A116" s="161"/>
      <c r="B116" s="161" t="s">
        <v>157</v>
      </c>
      <c r="C116" s="162"/>
      <c r="D116" s="209" t="s">
        <v>487</v>
      </c>
      <c r="E116" s="210" t="s">
        <v>488</v>
      </c>
      <c r="F116" s="165">
        <v>1</v>
      </c>
      <c r="G116" s="183"/>
      <c r="H116" s="165"/>
      <c r="I116" s="178"/>
      <c r="J116" s="167" t="s">
        <v>489</v>
      </c>
      <c r="K116" s="167"/>
      <c r="L116" s="167"/>
      <c r="M116" s="167"/>
      <c r="N116" s="168"/>
    </row>
    <row r="117" spans="1:14" x14ac:dyDescent="0.3">
      <c r="A117" s="161"/>
      <c r="B117" s="161" t="s">
        <v>157</v>
      </c>
      <c r="C117" s="162"/>
      <c r="D117" s="209" t="s">
        <v>191</v>
      </c>
      <c r="E117" s="210" t="s">
        <v>273</v>
      </c>
      <c r="F117" s="165">
        <v>3</v>
      </c>
      <c r="G117" s="183"/>
      <c r="H117" s="165"/>
      <c r="I117" s="178"/>
      <c r="J117" s="167"/>
      <c r="K117" s="167"/>
      <c r="L117" s="167"/>
      <c r="M117" s="167"/>
      <c r="N117" s="168"/>
    </row>
    <row r="118" spans="1:14" x14ac:dyDescent="0.3">
      <c r="A118" s="161"/>
      <c r="B118" s="161" t="s">
        <v>157</v>
      </c>
      <c r="C118" s="162"/>
      <c r="D118" s="209" t="s">
        <v>480</v>
      </c>
      <c r="E118" s="210" t="s">
        <v>481</v>
      </c>
      <c r="F118" s="165">
        <v>3</v>
      </c>
      <c r="G118" s="183"/>
      <c r="H118" s="165"/>
      <c r="I118" s="178"/>
      <c r="J118" s="167"/>
      <c r="K118" s="167"/>
      <c r="L118" s="167"/>
      <c r="M118" s="167"/>
      <c r="N118" s="168"/>
    </row>
    <row r="119" spans="1:14" x14ac:dyDescent="0.3">
      <c r="A119" s="161" t="s">
        <v>157</v>
      </c>
      <c r="B119" s="161" t="s">
        <v>157</v>
      </c>
      <c r="C119" s="162"/>
      <c r="D119" s="209" t="s">
        <v>502</v>
      </c>
      <c r="E119" s="210" t="s">
        <v>503</v>
      </c>
      <c r="F119" s="165">
        <v>1</v>
      </c>
      <c r="G119" s="183"/>
      <c r="H119" s="165"/>
      <c r="I119" s="178"/>
      <c r="J119" s="167"/>
      <c r="K119" s="167"/>
      <c r="L119" s="167"/>
      <c r="M119" s="167"/>
      <c r="N119" s="168"/>
    </row>
    <row r="120" spans="1:14" x14ac:dyDescent="0.3">
      <c r="A120" s="161"/>
      <c r="B120" s="161" t="s">
        <v>157</v>
      </c>
      <c r="C120" s="162"/>
      <c r="D120" s="209" t="s">
        <v>200</v>
      </c>
      <c r="E120" s="210" t="s">
        <v>234</v>
      </c>
      <c r="F120" s="165">
        <v>2</v>
      </c>
      <c r="G120" s="183">
        <v>35</v>
      </c>
      <c r="H120" s="165"/>
      <c r="I120" s="178"/>
      <c r="J120" s="167"/>
      <c r="K120" s="167"/>
      <c r="L120" s="167"/>
      <c r="M120" s="167"/>
      <c r="N120" s="168"/>
    </row>
    <row r="121" spans="1:14" x14ac:dyDescent="0.3">
      <c r="A121" s="161"/>
      <c r="B121" s="161" t="s">
        <v>157</v>
      </c>
      <c r="C121" s="162"/>
      <c r="D121" s="209" t="s">
        <v>188</v>
      </c>
      <c r="E121" s="210" t="s">
        <v>415</v>
      </c>
      <c r="F121" s="165">
        <v>1</v>
      </c>
      <c r="G121" s="183"/>
      <c r="H121" s="165">
        <v>8</v>
      </c>
      <c r="I121" s="178"/>
      <c r="J121" s="167"/>
      <c r="K121" s="167"/>
      <c r="L121" s="167"/>
      <c r="M121" s="167"/>
      <c r="N121" s="168"/>
    </row>
    <row r="122" spans="1:14" x14ac:dyDescent="0.3">
      <c r="A122" s="161" t="s">
        <v>157</v>
      </c>
      <c r="B122" s="161" t="s">
        <v>157</v>
      </c>
      <c r="C122" s="162"/>
      <c r="D122" s="209" t="s">
        <v>281</v>
      </c>
      <c r="E122" s="210" t="s">
        <v>499</v>
      </c>
      <c r="F122" s="165">
        <v>1</v>
      </c>
      <c r="G122" s="183"/>
      <c r="H122" s="165"/>
      <c r="I122" s="178"/>
      <c r="J122" s="167" t="s">
        <v>416</v>
      </c>
      <c r="K122" s="167"/>
      <c r="L122" s="167"/>
      <c r="M122" s="167"/>
      <c r="N122" s="168"/>
    </row>
    <row r="123" spans="1:14" x14ac:dyDescent="0.3">
      <c r="A123" s="161" t="s">
        <v>157</v>
      </c>
      <c r="B123" s="161" t="s">
        <v>157</v>
      </c>
      <c r="C123" s="162"/>
      <c r="D123" s="209" t="s">
        <v>236</v>
      </c>
      <c r="E123" s="210" t="s">
        <v>247</v>
      </c>
      <c r="F123" s="165">
        <v>1</v>
      </c>
      <c r="G123" s="183">
        <v>89</v>
      </c>
      <c r="H123" s="165">
        <v>6.7</v>
      </c>
      <c r="I123" s="178"/>
      <c r="J123" s="167"/>
      <c r="K123" s="167"/>
      <c r="L123" s="167"/>
      <c r="M123" s="167"/>
      <c r="N123" s="168"/>
    </row>
    <row r="124" spans="1:14" x14ac:dyDescent="0.3">
      <c r="A124" s="161"/>
      <c r="B124" s="161" t="s">
        <v>157</v>
      </c>
      <c r="C124" s="162"/>
      <c r="D124" s="209" t="s">
        <v>241</v>
      </c>
      <c r="E124" s="165" t="s">
        <v>280</v>
      </c>
      <c r="F124" s="165">
        <v>1</v>
      </c>
      <c r="G124" s="183">
        <v>140</v>
      </c>
      <c r="H124" s="165">
        <v>19.5</v>
      </c>
      <c r="I124" s="178"/>
      <c r="J124" s="167" t="s">
        <v>504</v>
      </c>
      <c r="K124" s="167"/>
      <c r="L124" s="167"/>
      <c r="M124" s="167"/>
      <c r="N124" s="168"/>
    </row>
    <row r="125" spans="1:14" x14ac:dyDescent="0.3">
      <c r="A125" s="161"/>
      <c r="B125" s="161" t="s">
        <v>157</v>
      </c>
      <c r="C125" s="162"/>
      <c r="D125" s="209" t="s">
        <v>192</v>
      </c>
      <c r="E125" s="210" t="s">
        <v>248</v>
      </c>
      <c r="F125" s="182">
        <v>1</v>
      </c>
      <c r="G125" s="211">
        <v>66.75</v>
      </c>
      <c r="H125" s="182">
        <v>9.3000000000000007</v>
      </c>
      <c r="I125" s="178"/>
      <c r="J125" s="167"/>
      <c r="K125" s="167"/>
      <c r="L125" s="167"/>
      <c r="M125" s="167"/>
      <c r="N125" s="168"/>
    </row>
    <row r="126" spans="1:14" x14ac:dyDescent="0.3">
      <c r="A126" s="161"/>
      <c r="B126" s="161"/>
      <c r="C126" s="162"/>
      <c r="D126" s="209" t="s">
        <v>203</v>
      </c>
      <c r="E126" s="165" t="s">
        <v>237</v>
      </c>
      <c r="F126" s="165">
        <v>1</v>
      </c>
      <c r="G126" s="183">
        <v>269</v>
      </c>
      <c r="H126" s="165">
        <v>22.3</v>
      </c>
      <c r="I126" s="178"/>
      <c r="J126" s="167"/>
      <c r="K126" s="167"/>
      <c r="L126" s="167"/>
      <c r="M126" s="167"/>
      <c r="N126" s="168"/>
    </row>
    <row r="127" spans="1:14" x14ac:dyDescent="0.3">
      <c r="A127" s="161"/>
      <c r="B127" s="161" t="s">
        <v>157</v>
      </c>
      <c r="C127" s="162"/>
      <c r="D127" s="209" t="s">
        <v>193</v>
      </c>
      <c r="E127" s="210" t="s">
        <v>482</v>
      </c>
      <c r="F127" s="165">
        <v>1</v>
      </c>
      <c r="G127" s="183">
        <v>0</v>
      </c>
      <c r="H127" s="165">
        <v>10.8</v>
      </c>
      <c r="I127" s="178"/>
      <c r="J127" s="167"/>
      <c r="K127" s="167"/>
      <c r="L127" s="167"/>
      <c r="M127" s="167"/>
      <c r="N127" s="168"/>
    </row>
    <row r="128" spans="1:14" x14ac:dyDescent="0.3">
      <c r="A128" s="161"/>
      <c r="B128" s="161" t="s">
        <v>157</v>
      </c>
      <c r="C128" s="162"/>
      <c r="D128" s="209" t="s">
        <v>233</v>
      </c>
      <c r="E128" s="210" t="s">
        <v>232</v>
      </c>
      <c r="F128" s="165">
        <v>1</v>
      </c>
      <c r="G128" s="183">
        <v>175</v>
      </c>
      <c r="H128" s="165">
        <v>18</v>
      </c>
      <c r="I128" s="178"/>
      <c r="J128" s="167"/>
      <c r="K128" s="167"/>
      <c r="L128" s="167"/>
      <c r="M128" s="167"/>
      <c r="N128" s="168"/>
    </row>
    <row r="129" spans="1:14" x14ac:dyDescent="0.3">
      <c r="A129" s="161" t="s">
        <v>157</v>
      </c>
      <c r="B129" s="161" t="s">
        <v>157</v>
      </c>
      <c r="C129" s="162"/>
      <c r="D129" s="209" t="s">
        <v>194</v>
      </c>
      <c r="E129" s="165" t="s">
        <v>149</v>
      </c>
      <c r="F129" s="165">
        <v>1</v>
      </c>
      <c r="G129" s="183">
        <v>120</v>
      </c>
      <c r="H129" s="165">
        <v>18</v>
      </c>
      <c r="I129" s="165"/>
      <c r="J129" s="167"/>
      <c r="K129" s="167"/>
      <c r="L129" s="167"/>
      <c r="M129" s="167"/>
      <c r="N129" s="168"/>
    </row>
    <row r="130" spans="1:14" x14ac:dyDescent="0.3">
      <c r="A130" s="161" t="s">
        <v>157</v>
      </c>
      <c r="B130" s="161" t="s">
        <v>157</v>
      </c>
      <c r="C130" s="162"/>
      <c r="D130" s="209" t="s">
        <v>195</v>
      </c>
      <c r="E130" s="165" t="s">
        <v>152</v>
      </c>
      <c r="F130" s="165">
        <v>1</v>
      </c>
      <c r="G130" s="183">
        <v>215</v>
      </c>
      <c r="H130" s="165">
        <v>17</v>
      </c>
      <c r="I130" s="165"/>
      <c r="J130" s="167"/>
      <c r="K130" s="167"/>
      <c r="L130" s="167"/>
      <c r="M130" s="167"/>
      <c r="N130" s="168"/>
    </row>
    <row r="131" spans="1:14" x14ac:dyDescent="0.3">
      <c r="A131" s="161" t="s">
        <v>157</v>
      </c>
      <c r="B131" s="161" t="s">
        <v>157</v>
      </c>
      <c r="C131" s="162"/>
      <c r="D131" s="209" t="s">
        <v>483</v>
      </c>
      <c r="E131" s="210" t="s">
        <v>238</v>
      </c>
      <c r="F131" s="165">
        <v>1</v>
      </c>
      <c r="G131" s="183">
        <v>59</v>
      </c>
      <c r="H131" s="165">
        <v>2.9</v>
      </c>
      <c r="I131" s="178"/>
      <c r="J131" s="167"/>
      <c r="K131" s="167"/>
      <c r="L131" s="167"/>
      <c r="M131" s="167"/>
      <c r="N131" s="168"/>
    </row>
    <row r="132" spans="1:14" x14ac:dyDescent="0.3">
      <c r="A132" s="161" t="s">
        <v>157</v>
      </c>
      <c r="B132" s="161" t="s">
        <v>157</v>
      </c>
      <c r="C132" s="162"/>
      <c r="D132" s="209" t="s">
        <v>212</v>
      </c>
      <c r="E132" s="210" t="s">
        <v>239</v>
      </c>
      <c r="F132" s="165">
        <v>1</v>
      </c>
      <c r="G132" s="183">
        <v>90</v>
      </c>
      <c r="H132" s="165">
        <v>7.2</v>
      </c>
      <c r="I132" s="178"/>
      <c r="J132" s="167"/>
      <c r="K132" s="167"/>
      <c r="L132" s="167"/>
      <c r="M132" s="167"/>
      <c r="N132" s="168"/>
    </row>
    <row r="133" spans="1:14" x14ac:dyDescent="0.3">
      <c r="A133" s="161" t="s">
        <v>157</v>
      </c>
      <c r="B133" s="161" t="s">
        <v>157</v>
      </c>
      <c r="C133" s="162"/>
      <c r="D133" s="209" t="s">
        <v>282</v>
      </c>
      <c r="E133" s="210" t="s">
        <v>283</v>
      </c>
      <c r="F133" s="165"/>
      <c r="G133" s="183"/>
      <c r="H133" s="165"/>
      <c r="I133" s="178"/>
      <c r="J133" s="167"/>
      <c r="K133" s="167"/>
      <c r="L133" s="167"/>
      <c r="M133" s="167"/>
      <c r="N133" s="168"/>
    </row>
    <row r="134" spans="1:14" x14ac:dyDescent="0.3">
      <c r="A134" s="161" t="s">
        <v>157</v>
      </c>
      <c r="B134" s="161" t="s">
        <v>157</v>
      </c>
      <c r="C134" s="162"/>
      <c r="D134" s="209" t="s">
        <v>196</v>
      </c>
      <c r="E134" s="210" t="s">
        <v>252</v>
      </c>
      <c r="F134" s="165">
        <v>1</v>
      </c>
      <c r="G134" s="183">
        <v>79</v>
      </c>
      <c r="H134" s="165">
        <v>3.5</v>
      </c>
      <c r="I134" s="178"/>
      <c r="J134" s="167"/>
      <c r="K134" s="167"/>
      <c r="L134" s="167"/>
      <c r="M134" s="167"/>
      <c r="N134" s="168"/>
    </row>
    <row r="135" spans="1:14" x14ac:dyDescent="0.3">
      <c r="A135" s="161" t="s">
        <v>157</v>
      </c>
      <c r="B135" s="161" t="s">
        <v>157</v>
      </c>
      <c r="C135" s="170"/>
      <c r="D135" s="212" t="s">
        <v>199</v>
      </c>
      <c r="E135" s="213"/>
      <c r="F135" s="189">
        <v>1</v>
      </c>
      <c r="G135" s="190">
        <v>22.5</v>
      </c>
      <c r="H135" s="189">
        <v>6</v>
      </c>
      <c r="I135" s="214"/>
      <c r="J135" s="167"/>
      <c r="K135" s="167"/>
      <c r="L135" s="167"/>
      <c r="M135" s="167"/>
      <c r="N135" s="168"/>
    </row>
    <row r="136" spans="1:14" x14ac:dyDescent="0.3">
      <c r="A136" s="161"/>
      <c r="B136" s="161" t="s">
        <v>157</v>
      </c>
      <c r="C136" s="13" t="s">
        <v>157</v>
      </c>
      <c r="D136" s="215" t="s">
        <v>376</v>
      </c>
      <c r="E136" s="216"/>
      <c r="F136" s="217">
        <v>2</v>
      </c>
      <c r="G136" s="218"/>
      <c r="H136" s="217"/>
      <c r="I136" s="219"/>
      <c r="J136" s="167" t="s">
        <v>484</v>
      </c>
      <c r="K136" s="167"/>
      <c r="L136" s="167"/>
      <c r="M136" s="167"/>
      <c r="N136" s="168"/>
    </row>
    <row r="137" spans="1:14" x14ac:dyDescent="0.3">
      <c r="A137" s="161"/>
      <c r="B137" s="161"/>
      <c r="C137" s="192"/>
      <c r="D137" s="193" t="s">
        <v>185</v>
      </c>
      <c r="E137" s="220"/>
      <c r="F137" s="194"/>
      <c r="G137" s="195"/>
      <c r="H137" s="194"/>
      <c r="I137" s="221"/>
      <c r="J137" s="167"/>
      <c r="K137" s="167"/>
      <c r="L137" s="167"/>
      <c r="M137" s="167"/>
      <c r="N137" s="168"/>
    </row>
    <row r="138" spans="1:14" x14ac:dyDescent="0.3">
      <c r="A138" s="161"/>
      <c r="B138" s="161" t="s">
        <v>157</v>
      </c>
      <c r="C138" s="162"/>
      <c r="D138" s="169" t="s">
        <v>162</v>
      </c>
      <c r="E138" s="165" t="s">
        <v>278</v>
      </c>
      <c r="F138" s="165"/>
      <c r="G138" s="183">
        <v>80</v>
      </c>
      <c r="H138" s="165">
        <v>10</v>
      </c>
      <c r="I138" s="175">
        <f>H138/16</f>
        <v>0.625</v>
      </c>
      <c r="J138" s="167" t="s">
        <v>410</v>
      </c>
      <c r="K138" s="167"/>
      <c r="L138" s="167"/>
      <c r="M138" s="167"/>
      <c r="N138" s="168"/>
    </row>
    <row r="139" spans="1:14" x14ac:dyDescent="0.3">
      <c r="A139" s="161"/>
      <c r="B139" s="161" t="s">
        <v>157</v>
      </c>
      <c r="C139" s="162"/>
      <c r="D139" s="169" t="s">
        <v>138</v>
      </c>
      <c r="E139" s="165"/>
      <c r="F139" s="165"/>
      <c r="G139" s="165"/>
      <c r="H139" s="165"/>
      <c r="I139" s="165"/>
      <c r="J139" s="167"/>
      <c r="K139" s="167"/>
      <c r="L139" s="167"/>
      <c r="M139" s="167"/>
      <c r="N139" s="168"/>
    </row>
    <row r="140" spans="1:14" x14ac:dyDescent="0.3">
      <c r="A140" s="161"/>
      <c r="B140" s="161" t="s">
        <v>157</v>
      </c>
      <c r="C140" s="162"/>
      <c r="D140" s="169" t="s">
        <v>137</v>
      </c>
      <c r="E140" s="165"/>
      <c r="F140" s="165"/>
      <c r="G140" s="165"/>
      <c r="H140" s="165"/>
      <c r="I140" s="165"/>
      <c r="J140" s="167"/>
      <c r="K140" s="167"/>
      <c r="L140" s="167"/>
      <c r="M140" s="167"/>
      <c r="N140" s="168"/>
    </row>
    <row r="141" spans="1:14" x14ac:dyDescent="0.3">
      <c r="A141" s="161"/>
      <c r="B141" s="161"/>
      <c r="C141" s="162"/>
      <c r="D141" s="222" t="s">
        <v>284</v>
      </c>
      <c r="E141" s="165"/>
      <c r="F141" s="165">
        <v>2</v>
      </c>
      <c r="G141" s="165"/>
      <c r="H141" s="165"/>
      <c r="I141" s="165"/>
      <c r="J141" s="167" t="s">
        <v>485</v>
      </c>
      <c r="K141" s="167"/>
      <c r="L141" s="167"/>
      <c r="M141" s="167"/>
      <c r="N141" s="168"/>
    </row>
    <row r="142" spans="1:14" x14ac:dyDescent="0.3">
      <c r="A142" s="161"/>
      <c r="B142" s="161"/>
      <c r="C142" s="162"/>
      <c r="D142" s="169" t="s">
        <v>213</v>
      </c>
      <c r="E142" s="165"/>
      <c r="F142" s="165"/>
      <c r="G142" s="183"/>
      <c r="H142" s="165"/>
      <c r="I142" s="178"/>
      <c r="J142" s="167"/>
      <c r="K142" s="167"/>
      <c r="L142" s="167"/>
      <c r="M142" s="167"/>
      <c r="N142" s="168"/>
    </row>
    <row r="143" spans="1:14" x14ac:dyDescent="0.3">
      <c r="A143" s="161"/>
      <c r="B143" s="161"/>
      <c r="C143" s="162"/>
      <c r="D143" s="169" t="s">
        <v>214</v>
      </c>
      <c r="E143" s="165"/>
      <c r="F143" s="165"/>
      <c r="G143" s="183"/>
      <c r="H143" s="165"/>
      <c r="I143" s="178"/>
      <c r="J143" s="167"/>
      <c r="K143" s="167"/>
      <c r="L143" s="167"/>
      <c r="M143" s="167"/>
      <c r="N143" s="168"/>
    </row>
    <row r="144" spans="1:14" x14ac:dyDescent="0.3">
      <c r="A144" s="161"/>
      <c r="B144" s="161"/>
      <c r="C144" s="162"/>
      <c r="D144" s="169" t="s">
        <v>215</v>
      </c>
      <c r="E144" s="165"/>
      <c r="F144" s="165">
        <v>4</v>
      </c>
      <c r="G144" s="183"/>
      <c r="H144" s="165"/>
      <c r="I144" s="178"/>
      <c r="J144" s="167"/>
      <c r="K144" s="167"/>
      <c r="L144" s="167"/>
      <c r="M144" s="167"/>
      <c r="N144" s="168"/>
    </row>
    <row r="145" spans="1:14" x14ac:dyDescent="0.3">
      <c r="A145" s="161"/>
      <c r="B145" s="161"/>
      <c r="C145" s="162"/>
      <c r="D145" s="193" t="s">
        <v>567</v>
      </c>
      <c r="E145" s="165"/>
      <c r="F145" s="165"/>
      <c r="G145" s="183"/>
      <c r="H145" s="165"/>
      <c r="I145" s="175"/>
      <c r="J145" s="167"/>
      <c r="K145" s="167"/>
      <c r="L145" s="167"/>
      <c r="M145" s="167"/>
      <c r="N145" s="168"/>
    </row>
    <row r="146" spans="1:14" x14ac:dyDescent="0.3">
      <c r="A146" s="161"/>
      <c r="B146" s="161"/>
      <c r="C146" s="162"/>
      <c r="D146" s="169" t="s">
        <v>568</v>
      </c>
      <c r="E146" s="165" t="s">
        <v>569</v>
      </c>
      <c r="F146" s="165">
        <v>1</v>
      </c>
      <c r="G146" s="165"/>
      <c r="H146" s="165"/>
      <c r="I146" s="165"/>
      <c r="J146" s="167"/>
      <c r="K146" s="167"/>
      <c r="L146" s="167"/>
      <c r="M146" s="167"/>
      <c r="N146" s="168"/>
    </row>
    <row r="147" spans="1:14" x14ac:dyDescent="0.3">
      <c r="A147" s="161"/>
      <c r="B147" s="161"/>
      <c r="C147" s="162"/>
      <c r="D147" s="169" t="s">
        <v>570</v>
      </c>
      <c r="E147" s="165"/>
      <c r="F147" s="165"/>
      <c r="G147" s="165"/>
      <c r="H147" s="165"/>
      <c r="I147" s="165"/>
      <c r="J147" s="167"/>
      <c r="K147" s="167"/>
      <c r="L147" s="167"/>
      <c r="M147" s="167"/>
      <c r="N147" s="168"/>
    </row>
    <row r="148" spans="1:14" x14ac:dyDescent="0.3">
      <c r="A148" s="161"/>
      <c r="B148" s="161"/>
      <c r="C148" s="162"/>
      <c r="D148" s="222" t="s">
        <v>571</v>
      </c>
      <c r="E148" s="165"/>
      <c r="F148" s="165"/>
      <c r="G148" s="165"/>
      <c r="H148" s="165"/>
      <c r="I148" s="165"/>
      <c r="J148" s="167"/>
      <c r="K148" s="167"/>
      <c r="L148" s="167"/>
      <c r="M148" s="167"/>
      <c r="N148" s="168"/>
    </row>
    <row r="149" spans="1:14" x14ac:dyDescent="0.3">
      <c r="A149" s="161"/>
      <c r="B149" s="161"/>
      <c r="C149" s="162"/>
      <c r="D149" s="169" t="s">
        <v>572</v>
      </c>
      <c r="E149" s="165"/>
      <c r="F149" s="165"/>
      <c r="G149" s="165"/>
      <c r="H149" s="165"/>
      <c r="I149" s="165"/>
      <c r="J149" s="167"/>
      <c r="K149" s="167"/>
      <c r="L149" s="167"/>
      <c r="M149" s="167"/>
      <c r="N149" s="168"/>
    </row>
    <row r="150" spans="1:14" x14ac:dyDescent="0.3">
      <c r="A150" s="161"/>
      <c r="B150" s="161"/>
      <c r="C150" s="162"/>
      <c r="D150" s="169" t="s">
        <v>573</v>
      </c>
      <c r="E150" s="165"/>
      <c r="F150" s="165"/>
      <c r="G150" s="165"/>
      <c r="H150" s="165"/>
      <c r="I150" s="165"/>
      <c r="J150" s="167"/>
      <c r="K150" s="167"/>
      <c r="L150" s="167"/>
      <c r="M150" s="167"/>
      <c r="N150" s="168"/>
    </row>
    <row r="151" spans="1:14" x14ac:dyDescent="0.3">
      <c r="A151" s="161"/>
      <c r="B151" s="161"/>
      <c r="C151" s="162"/>
      <c r="D151" s="169" t="s">
        <v>574</v>
      </c>
      <c r="E151" s="165"/>
      <c r="F151" s="165"/>
      <c r="G151" s="165"/>
      <c r="H151" s="165"/>
      <c r="I151" s="165"/>
      <c r="J151" s="167"/>
      <c r="K151" s="167"/>
      <c r="L151" s="167"/>
      <c r="M151" s="167"/>
      <c r="N151" s="168"/>
    </row>
    <row r="152" spans="1:14" x14ac:dyDescent="0.3">
      <c r="A152" s="161"/>
      <c r="B152" s="161"/>
      <c r="C152" s="162"/>
      <c r="D152" s="222" t="s">
        <v>575</v>
      </c>
      <c r="E152" s="165"/>
      <c r="F152" s="165"/>
      <c r="G152" s="165"/>
      <c r="H152" s="165"/>
      <c r="I152" s="165"/>
      <c r="J152" s="167"/>
      <c r="K152" s="167"/>
      <c r="L152" s="167"/>
      <c r="M152" s="167"/>
      <c r="N152" s="168"/>
    </row>
    <row r="153" spans="1:14" x14ac:dyDescent="0.3">
      <c r="A153" s="161"/>
      <c r="B153" s="161"/>
      <c r="C153" s="162"/>
      <c r="D153" s="169" t="s">
        <v>576</v>
      </c>
      <c r="E153" s="165"/>
      <c r="F153" s="165"/>
      <c r="G153" s="183"/>
      <c r="H153" s="165"/>
      <c r="I153" s="178"/>
      <c r="J153" s="167"/>
      <c r="K153" s="167"/>
      <c r="L153" s="167"/>
      <c r="M153" s="167"/>
      <c r="N153" s="168"/>
    </row>
    <row r="154" spans="1:14" x14ac:dyDescent="0.3">
      <c r="A154" s="161"/>
      <c r="B154" s="161"/>
      <c r="C154" s="162"/>
      <c r="D154" s="169" t="s">
        <v>636</v>
      </c>
      <c r="E154" s="165"/>
      <c r="F154" s="165"/>
      <c r="G154" s="183"/>
      <c r="H154" s="165"/>
      <c r="I154" s="178"/>
      <c r="J154" s="167"/>
      <c r="K154" s="167"/>
      <c r="L154" s="167"/>
      <c r="M154" s="167"/>
      <c r="N154" s="168"/>
    </row>
    <row r="155" spans="1:14" x14ac:dyDescent="0.3">
      <c r="A155" s="161"/>
      <c r="B155" s="161"/>
      <c r="C155" s="162"/>
      <c r="D155" s="169"/>
      <c r="E155" s="165"/>
      <c r="F155" s="165"/>
      <c r="G155" s="183"/>
      <c r="H155" s="165"/>
      <c r="I155" s="178"/>
      <c r="J155" s="167"/>
      <c r="K155" s="167"/>
      <c r="L155" s="167"/>
      <c r="M155" s="167"/>
      <c r="N155" s="168"/>
    </row>
    <row r="156" spans="1:14" x14ac:dyDescent="0.3">
      <c r="A156" s="161"/>
      <c r="B156" s="161"/>
      <c r="C156" s="223"/>
      <c r="D156" s="224" t="s">
        <v>186</v>
      </c>
      <c r="E156" s="220"/>
      <c r="F156" s="194"/>
      <c r="G156" s="195"/>
      <c r="H156" s="194"/>
      <c r="I156" s="196"/>
      <c r="J156" s="167"/>
      <c r="K156" s="167"/>
      <c r="L156" s="167"/>
      <c r="M156" s="167"/>
      <c r="N156" s="168"/>
    </row>
    <row r="157" spans="1:14" x14ac:dyDescent="0.3">
      <c r="A157" s="161"/>
      <c r="B157" s="161"/>
      <c r="C157" s="225"/>
      <c r="D157" s="171" t="s">
        <v>243</v>
      </c>
      <c r="E157" s="165" t="s">
        <v>242</v>
      </c>
      <c r="F157" s="165"/>
      <c r="G157" s="183"/>
      <c r="H157" s="165"/>
      <c r="I157" s="175"/>
      <c r="J157" s="167"/>
      <c r="K157" s="167"/>
      <c r="L157" s="167"/>
      <c r="M157" s="167"/>
      <c r="N157" s="168"/>
    </row>
    <row r="158" spans="1:14" x14ac:dyDescent="0.3">
      <c r="A158" s="161"/>
      <c r="B158" s="161"/>
      <c r="C158" s="225"/>
      <c r="D158" s="171" t="s">
        <v>74</v>
      </c>
      <c r="E158" s="165"/>
      <c r="F158" s="165"/>
      <c r="G158" s="183">
        <v>229</v>
      </c>
      <c r="H158" s="165">
        <v>122</v>
      </c>
      <c r="I158" s="175">
        <f>H158/16</f>
        <v>7.625</v>
      </c>
      <c r="J158" s="167"/>
      <c r="K158" s="167"/>
      <c r="L158" s="167"/>
      <c r="M158" s="167"/>
      <c r="N158" s="168"/>
    </row>
    <row r="159" spans="1:14" x14ac:dyDescent="0.3">
      <c r="A159" s="161"/>
      <c r="B159" s="161"/>
      <c r="C159" s="225"/>
      <c r="D159" s="171" t="s">
        <v>73</v>
      </c>
      <c r="E159" s="165"/>
      <c r="F159" s="165"/>
      <c r="G159" s="183">
        <v>39.950000000000003</v>
      </c>
      <c r="H159" s="165">
        <v>16.600000000000001</v>
      </c>
      <c r="I159" s="175">
        <f>H159/16</f>
        <v>1.0375000000000001</v>
      </c>
      <c r="J159" s="167"/>
      <c r="K159" s="167"/>
      <c r="L159" s="167"/>
      <c r="M159" s="167"/>
      <c r="N159" s="168"/>
    </row>
    <row r="160" spans="1:14" x14ac:dyDescent="0.3">
      <c r="A160" s="161"/>
      <c r="B160" s="161"/>
      <c r="C160" s="225"/>
      <c r="D160" s="171" t="s">
        <v>78</v>
      </c>
      <c r="E160" s="165"/>
      <c r="F160" s="165"/>
      <c r="G160" s="183"/>
      <c r="H160" s="165"/>
      <c r="I160" s="175">
        <f>H160/16</f>
        <v>0</v>
      </c>
      <c r="J160" s="167"/>
      <c r="K160" s="167"/>
      <c r="L160" s="167"/>
      <c r="M160" s="167"/>
      <c r="N160" s="168"/>
    </row>
    <row r="161" spans="1:20" x14ac:dyDescent="0.3">
      <c r="A161" s="161"/>
      <c r="B161" s="161"/>
      <c r="C161" s="225"/>
      <c r="D161" s="171" t="s">
        <v>133</v>
      </c>
      <c r="E161" s="165"/>
      <c r="F161" s="165"/>
      <c r="G161" s="183"/>
      <c r="H161" s="165"/>
      <c r="I161" s="175"/>
      <c r="J161" s="167"/>
      <c r="K161" s="167"/>
      <c r="L161" s="167"/>
      <c r="M161" s="167"/>
      <c r="N161" s="168"/>
    </row>
    <row r="162" spans="1:20" x14ac:dyDescent="0.3">
      <c r="A162" s="161"/>
      <c r="B162" s="161"/>
      <c r="C162" s="225"/>
      <c r="D162" s="226" t="s">
        <v>158</v>
      </c>
      <c r="E162" s="227"/>
      <c r="F162" s="227"/>
      <c r="G162" s="183"/>
      <c r="H162" s="165"/>
      <c r="I162" s="175"/>
      <c r="J162" s="167"/>
      <c r="K162" s="167"/>
      <c r="L162" s="167"/>
      <c r="M162" s="167"/>
      <c r="N162" s="168"/>
    </row>
    <row r="163" spans="1:20" x14ac:dyDescent="0.3">
      <c r="A163" s="161"/>
      <c r="B163" s="161"/>
      <c r="C163" s="225"/>
      <c r="D163" s="226" t="s">
        <v>129</v>
      </c>
      <c r="E163" s="227"/>
      <c r="F163" s="227"/>
      <c r="G163" s="183"/>
      <c r="H163" s="165"/>
      <c r="I163" s="175"/>
      <c r="J163" s="167"/>
      <c r="K163" s="167"/>
      <c r="L163" s="167"/>
      <c r="M163" s="167"/>
      <c r="N163" s="168"/>
    </row>
    <row r="164" spans="1:20" x14ac:dyDescent="0.3">
      <c r="A164" s="161"/>
      <c r="B164" s="161"/>
      <c r="C164" s="225"/>
      <c r="D164" s="171" t="s">
        <v>136</v>
      </c>
      <c r="E164" s="165"/>
      <c r="F164" s="165"/>
      <c r="G164" s="183"/>
      <c r="H164" s="165"/>
      <c r="I164" s="175"/>
      <c r="J164" s="167"/>
      <c r="K164" s="167"/>
      <c r="L164" s="167"/>
      <c r="M164" s="167"/>
      <c r="N164" s="168"/>
    </row>
    <row r="165" spans="1:20" x14ac:dyDescent="0.3">
      <c r="A165" s="161"/>
      <c r="B165" s="161"/>
      <c r="C165" s="225"/>
      <c r="D165" s="171" t="s">
        <v>259</v>
      </c>
      <c r="E165" s="165"/>
      <c r="F165" s="165"/>
      <c r="G165" s="183"/>
      <c r="H165" s="165"/>
      <c r="I165" s="175"/>
      <c r="J165" s="167"/>
      <c r="K165" s="167"/>
      <c r="L165" s="167"/>
      <c r="M165" s="167"/>
      <c r="N165" s="168"/>
    </row>
    <row r="166" spans="1:20" x14ac:dyDescent="0.3">
      <c r="A166" s="161"/>
      <c r="B166" s="161"/>
      <c r="C166" s="225"/>
      <c r="D166" s="171" t="s">
        <v>260</v>
      </c>
      <c r="E166" s="165"/>
      <c r="F166" s="165"/>
      <c r="G166" s="183"/>
      <c r="H166" s="165"/>
      <c r="I166" s="175"/>
      <c r="J166" s="167"/>
      <c r="K166" s="167"/>
      <c r="L166" s="167"/>
      <c r="M166" s="167"/>
      <c r="N166" s="168"/>
    </row>
    <row r="167" spans="1:20" x14ac:dyDescent="0.3">
      <c r="A167" s="161"/>
      <c r="B167" s="161"/>
      <c r="C167" s="225"/>
      <c r="D167" s="171" t="s">
        <v>117</v>
      </c>
      <c r="E167" s="165"/>
      <c r="F167" s="165"/>
      <c r="G167" s="183">
        <v>89.95</v>
      </c>
      <c r="H167" s="165">
        <v>12.4</v>
      </c>
      <c r="I167" s="175">
        <f>H167/16</f>
        <v>0.77500000000000002</v>
      </c>
      <c r="J167" s="167"/>
      <c r="K167" s="167"/>
      <c r="L167" s="167"/>
      <c r="M167" s="167"/>
      <c r="N167" s="168"/>
    </row>
    <row r="168" spans="1:20" x14ac:dyDescent="0.3">
      <c r="A168" s="161"/>
      <c r="B168" s="161"/>
      <c r="C168" s="225"/>
      <c r="D168" s="226" t="s">
        <v>154</v>
      </c>
      <c r="E168" s="165"/>
      <c r="F168" s="165"/>
      <c r="G168" s="165"/>
      <c r="H168" s="165"/>
      <c r="I168" s="175"/>
      <c r="J168" s="167"/>
      <c r="K168" s="167"/>
      <c r="L168" s="167"/>
      <c r="M168" s="167"/>
      <c r="N168" s="168"/>
    </row>
    <row r="169" spans="1:20" x14ac:dyDescent="0.3">
      <c r="A169" s="161"/>
      <c r="B169" s="161"/>
      <c r="C169" s="225"/>
      <c r="D169" s="171" t="s">
        <v>86</v>
      </c>
      <c r="E169" s="165"/>
      <c r="F169" s="165"/>
      <c r="G169" s="183">
        <v>800</v>
      </c>
      <c r="H169" s="165">
        <v>45</v>
      </c>
      <c r="I169" s="175">
        <f>H169/16</f>
        <v>2.8125</v>
      </c>
      <c r="J169" s="167"/>
      <c r="K169" s="167"/>
      <c r="L169" s="167"/>
      <c r="M169" s="167"/>
      <c r="N169" s="168"/>
    </row>
    <row r="170" spans="1:20" x14ac:dyDescent="0.3">
      <c r="A170" s="161"/>
      <c r="B170" s="161"/>
      <c r="C170" s="225"/>
      <c r="D170" s="171" t="s">
        <v>87</v>
      </c>
      <c r="E170" s="165"/>
      <c r="F170" s="165"/>
      <c r="G170" s="183">
        <v>150</v>
      </c>
      <c r="H170" s="165">
        <v>16</v>
      </c>
      <c r="I170" s="175">
        <f>H170/16</f>
        <v>1</v>
      </c>
      <c r="J170" s="167"/>
      <c r="K170" s="167"/>
      <c r="L170" s="167"/>
      <c r="M170" s="167"/>
      <c r="N170" s="168"/>
    </row>
    <row r="171" spans="1:20" x14ac:dyDescent="0.3">
      <c r="A171" s="161"/>
      <c r="B171" s="161"/>
      <c r="C171" s="225"/>
      <c r="D171" s="171" t="s">
        <v>88</v>
      </c>
      <c r="E171" s="165"/>
      <c r="F171" s="165"/>
      <c r="G171" s="183"/>
      <c r="H171" s="165">
        <v>6</v>
      </c>
      <c r="I171" s="175">
        <f>H171/16</f>
        <v>0.375</v>
      </c>
      <c r="J171" s="167"/>
      <c r="K171" s="167"/>
      <c r="L171" s="167"/>
      <c r="M171" s="167"/>
      <c r="N171" s="168"/>
    </row>
    <row r="172" spans="1:20" x14ac:dyDescent="0.3">
      <c r="A172" s="228"/>
      <c r="B172" s="228"/>
      <c r="C172" s="229"/>
      <c r="D172" s="230" t="s">
        <v>70</v>
      </c>
      <c r="E172" s="189"/>
      <c r="F172" s="189"/>
      <c r="G172" s="190">
        <f>SUM(G14:G171)</f>
        <v>4438.88</v>
      </c>
      <c r="H172" s="189">
        <f>SUM(H14:H170)</f>
        <v>912.0899999999998</v>
      </c>
      <c r="I172" s="191">
        <f>SUM(I14:I170)</f>
        <v>45.568124999999995</v>
      </c>
      <c r="J172" s="167"/>
      <c r="K172" s="167"/>
      <c r="L172" s="167"/>
      <c r="M172" s="167"/>
      <c r="N172" s="168"/>
    </row>
    <row r="173" spans="1:20" ht="43.2" x14ac:dyDescent="0.3">
      <c r="A173" s="231"/>
      <c r="B173" s="231"/>
      <c r="C173" s="232"/>
      <c r="D173" s="233" t="s">
        <v>102</v>
      </c>
      <c r="E173" s="234"/>
      <c r="F173" s="235" t="s">
        <v>509</v>
      </c>
      <c r="G173" s="236"/>
      <c r="H173" s="235" t="s">
        <v>508</v>
      </c>
      <c r="I173" s="236" t="s">
        <v>513</v>
      </c>
      <c r="J173" s="236" t="s">
        <v>522</v>
      </c>
      <c r="K173" s="235" t="s">
        <v>510</v>
      </c>
      <c r="L173" s="236" t="s">
        <v>511</v>
      </c>
      <c r="M173" s="235" t="s">
        <v>512</v>
      </c>
      <c r="N173" s="237" t="s">
        <v>201</v>
      </c>
      <c r="O173" s="238" t="s">
        <v>514</v>
      </c>
      <c r="P173" s="235" t="s">
        <v>515</v>
      </c>
      <c r="Q173" s="235" t="s">
        <v>516</v>
      </c>
      <c r="R173" s="239" t="s">
        <v>517</v>
      </c>
      <c r="S173" s="239" t="s">
        <v>526</v>
      </c>
      <c r="T173" s="239" t="s">
        <v>527</v>
      </c>
    </row>
    <row r="174" spans="1:20" x14ac:dyDescent="0.3">
      <c r="A174" s="240"/>
      <c r="B174" s="240"/>
      <c r="C174" s="225" t="s">
        <v>157</v>
      </c>
      <c r="D174" s="169" t="s">
        <v>506</v>
      </c>
      <c r="E174" s="165" t="s">
        <v>507</v>
      </c>
      <c r="F174" s="241">
        <v>2</v>
      </c>
      <c r="G174" s="242"/>
      <c r="H174" s="241">
        <v>490</v>
      </c>
      <c r="I174" s="243">
        <f>6.35/2</f>
        <v>3.1749999999999998</v>
      </c>
      <c r="J174" s="244">
        <f t="shared" ref="J174:J182" si="1">H174/I174</f>
        <v>154.33070866141733</v>
      </c>
      <c r="K174" s="241">
        <v>29</v>
      </c>
      <c r="L174" s="243">
        <v>29</v>
      </c>
      <c r="M174" s="241">
        <v>25</v>
      </c>
      <c r="N174" s="241">
        <v>6</v>
      </c>
      <c r="O174" s="264">
        <f t="shared" ref="O174:O180" si="2">N174*(F174*H174)</f>
        <v>5880</v>
      </c>
      <c r="P174" s="245">
        <f>K174*$F174*$N174</f>
        <v>348</v>
      </c>
      <c r="Q174" s="245">
        <f>L174*$F174*$N174</f>
        <v>348</v>
      </c>
      <c r="R174" s="246">
        <f>M174*$F174*$N174</f>
        <v>300</v>
      </c>
      <c r="S174" s="246">
        <f>N174*F174*I174</f>
        <v>38.099999999999994</v>
      </c>
      <c r="T174" s="247">
        <f>S174/16</f>
        <v>2.3812499999999996</v>
      </c>
    </row>
    <row r="175" spans="1:20" x14ac:dyDescent="0.3">
      <c r="A175" s="240"/>
      <c r="B175" s="240"/>
      <c r="C175" s="225" t="s">
        <v>157</v>
      </c>
      <c r="D175" s="169" t="s">
        <v>519</v>
      </c>
      <c r="E175" s="165" t="s">
        <v>577</v>
      </c>
      <c r="F175" s="241">
        <v>2</v>
      </c>
      <c r="G175" s="242"/>
      <c r="H175" s="241">
        <v>370</v>
      </c>
      <c r="I175" s="243">
        <f>6.06/2</f>
        <v>3.03</v>
      </c>
      <c r="J175" s="244">
        <f t="shared" si="1"/>
        <v>122.11221122112212</v>
      </c>
      <c r="K175" s="241">
        <v>6</v>
      </c>
      <c r="L175" s="243">
        <v>59</v>
      </c>
      <c r="M175" s="241">
        <v>20</v>
      </c>
      <c r="N175" s="241">
        <v>7</v>
      </c>
      <c r="O175" s="264">
        <f t="shared" si="2"/>
        <v>5180</v>
      </c>
      <c r="P175" s="245">
        <f t="shared" ref="P175:P191" si="3">K175*$F175*$N175</f>
        <v>84</v>
      </c>
      <c r="Q175" s="245">
        <f t="shared" ref="Q175:R189" si="4">L175*$F175*$N175</f>
        <v>826</v>
      </c>
      <c r="R175" s="246">
        <f t="shared" si="4"/>
        <v>280</v>
      </c>
      <c r="S175" s="246">
        <f t="shared" ref="S175:S191" si="5">N175*F175*I175</f>
        <v>42.419999999999995</v>
      </c>
      <c r="T175" s="247">
        <f t="shared" ref="T175:T191" si="6">S175/16</f>
        <v>2.6512499999999997</v>
      </c>
    </row>
    <row r="176" spans="1:20" x14ac:dyDescent="0.3">
      <c r="A176" s="240"/>
      <c r="B176" s="240"/>
      <c r="C176" s="225" t="s">
        <v>157</v>
      </c>
      <c r="D176" s="169" t="s">
        <v>520</v>
      </c>
      <c r="E176" s="165" t="s">
        <v>529</v>
      </c>
      <c r="F176" s="241">
        <v>2</v>
      </c>
      <c r="G176" s="242"/>
      <c r="H176" s="241">
        <v>430</v>
      </c>
      <c r="I176" s="243">
        <f>4.97/2</f>
        <v>2.4849999999999999</v>
      </c>
      <c r="J176" s="244">
        <f t="shared" si="1"/>
        <v>173.03822937625756</v>
      </c>
      <c r="K176" s="241">
        <v>24</v>
      </c>
      <c r="L176" s="243">
        <v>27</v>
      </c>
      <c r="M176" s="241">
        <v>26</v>
      </c>
      <c r="N176" s="241">
        <v>6</v>
      </c>
      <c r="O176" s="264">
        <f t="shared" si="2"/>
        <v>5160</v>
      </c>
      <c r="P176" s="245">
        <f t="shared" si="3"/>
        <v>288</v>
      </c>
      <c r="Q176" s="245">
        <f t="shared" si="4"/>
        <v>324</v>
      </c>
      <c r="R176" s="246">
        <f t="shared" si="4"/>
        <v>312</v>
      </c>
      <c r="S176" s="246">
        <f t="shared" si="5"/>
        <v>29.82</v>
      </c>
      <c r="T176" s="247">
        <f t="shared" si="6"/>
        <v>1.86375</v>
      </c>
    </row>
    <row r="177" spans="1:20" x14ac:dyDescent="0.3">
      <c r="A177" s="240"/>
      <c r="B177" s="240"/>
      <c r="C177" s="225" t="s">
        <v>157</v>
      </c>
      <c r="D177" s="169" t="s">
        <v>528</v>
      </c>
      <c r="E177" s="165" t="s">
        <v>530</v>
      </c>
      <c r="F177" s="241">
        <v>2</v>
      </c>
      <c r="G177" s="242"/>
      <c r="H177" s="241">
        <v>460</v>
      </c>
      <c r="I177" s="243">
        <f>5.71/2</f>
        <v>2.855</v>
      </c>
      <c r="J177" s="244">
        <f t="shared" si="1"/>
        <v>161.12084063047286</v>
      </c>
      <c r="K177" s="241">
        <v>32</v>
      </c>
      <c r="L177" s="243">
        <v>21</v>
      </c>
      <c r="M177" s="241">
        <v>22</v>
      </c>
      <c r="N177" s="241">
        <v>6</v>
      </c>
      <c r="O177" s="264">
        <f t="shared" si="2"/>
        <v>5520</v>
      </c>
      <c r="P177" s="245">
        <f t="shared" si="3"/>
        <v>384</v>
      </c>
      <c r="Q177" s="245">
        <f t="shared" si="4"/>
        <v>252</v>
      </c>
      <c r="R177" s="246">
        <f t="shared" si="4"/>
        <v>264</v>
      </c>
      <c r="S177" s="246">
        <f t="shared" si="5"/>
        <v>34.26</v>
      </c>
      <c r="T177" s="247">
        <f t="shared" si="6"/>
        <v>2.1412499999999999</v>
      </c>
    </row>
    <row r="178" spans="1:20" x14ac:dyDescent="0.3">
      <c r="A178" s="240"/>
      <c r="B178" s="240"/>
      <c r="C178" s="225" t="s">
        <v>157</v>
      </c>
      <c r="D178" s="169" t="s">
        <v>578</v>
      </c>
      <c r="E178" s="165" t="s">
        <v>579</v>
      </c>
      <c r="F178" s="241">
        <v>2</v>
      </c>
      <c r="G178" s="242"/>
      <c r="H178" s="241">
        <v>280</v>
      </c>
      <c r="I178" s="243">
        <f>4.2/2</f>
        <v>2.1</v>
      </c>
      <c r="J178" s="244">
        <f t="shared" si="1"/>
        <v>133.33333333333331</v>
      </c>
      <c r="K178" s="241">
        <v>10</v>
      </c>
      <c r="L178" s="243">
        <v>30</v>
      </c>
      <c r="M178" s="241">
        <v>18</v>
      </c>
      <c r="N178" s="241">
        <v>9</v>
      </c>
      <c r="O178" s="264">
        <f t="shared" si="2"/>
        <v>5040</v>
      </c>
      <c r="P178" s="245">
        <f t="shared" si="3"/>
        <v>180</v>
      </c>
      <c r="Q178" s="245">
        <f t="shared" si="4"/>
        <v>540</v>
      </c>
      <c r="R178" s="246">
        <f t="shared" si="4"/>
        <v>324</v>
      </c>
      <c r="S178" s="246">
        <f t="shared" si="5"/>
        <v>37.800000000000004</v>
      </c>
      <c r="T178" s="247">
        <f t="shared" si="6"/>
        <v>2.3625000000000003</v>
      </c>
    </row>
    <row r="179" spans="1:20" x14ac:dyDescent="0.3">
      <c r="A179" s="240"/>
      <c r="B179" s="240"/>
      <c r="C179" s="225" t="s">
        <v>157</v>
      </c>
      <c r="D179" s="169" t="s">
        <v>521</v>
      </c>
      <c r="E179" s="165" t="s">
        <v>523</v>
      </c>
      <c r="F179" s="241">
        <v>2</v>
      </c>
      <c r="G179" s="242"/>
      <c r="H179" s="241">
        <v>260</v>
      </c>
      <c r="I179" s="243">
        <f>3.7/2</f>
        <v>1.85</v>
      </c>
      <c r="J179" s="244">
        <f t="shared" si="1"/>
        <v>140.54054054054055</v>
      </c>
      <c r="K179" s="241">
        <v>12</v>
      </c>
      <c r="L179" s="243">
        <v>23</v>
      </c>
      <c r="M179" s="241">
        <v>14</v>
      </c>
      <c r="N179" s="241">
        <v>11</v>
      </c>
      <c r="O179" s="264">
        <f t="shared" si="2"/>
        <v>5720</v>
      </c>
      <c r="P179" s="245">
        <f t="shared" si="3"/>
        <v>264</v>
      </c>
      <c r="Q179" s="245">
        <f t="shared" si="4"/>
        <v>506</v>
      </c>
      <c r="R179" s="246">
        <f t="shared" si="4"/>
        <v>308</v>
      </c>
      <c r="S179" s="246">
        <f t="shared" si="5"/>
        <v>40.700000000000003</v>
      </c>
      <c r="T179" s="247">
        <f t="shared" si="6"/>
        <v>2.5437500000000002</v>
      </c>
    </row>
    <row r="180" spans="1:20" x14ac:dyDescent="0.3">
      <c r="A180" s="240"/>
      <c r="B180" s="240"/>
      <c r="C180" s="225" t="s">
        <v>157</v>
      </c>
      <c r="D180" s="169" t="s">
        <v>524</v>
      </c>
      <c r="E180" s="165" t="s">
        <v>538</v>
      </c>
      <c r="F180" s="241">
        <v>2</v>
      </c>
      <c r="G180" s="242"/>
      <c r="H180" s="241">
        <v>570</v>
      </c>
      <c r="I180" s="243">
        <f>6.77/2</f>
        <v>3.3849999999999998</v>
      </c>
      <c r="J180" s="244">
        <f t="shared" si="1"/>
        <v>168.38995568685377</v>
      </c>
      <c r="K180" s="241">
        <v>45</v>
      </c>
      <c r="L180" s="243">
        <v>27</v>
      </c>
      <c r="M180" s="241">
        <v>18</v>
      </c>
      <c r="N180" s="241">
        <v>11</v>
      </c>
      <c r="O180" s="264">
        <f t="shared" si="2"/>
        <v>12540</v>
      </c>
      <c r="P180" s="245">
        <f t="shared" si="3"/>
        <v>990</v>
      </c>
      <c r="Q180" s="245">
        <f t="shared" si="4"/>
        <v>594</v>
      </c>
      <c r="R180" s="246">
        <f t="shared" si="4"/>
        <v>396</v>
      </c>
      <c r="S180" s="246">
        <f t="shared" si="5"/>
        <v>74.47</v>
      </c>
      <c r="T180" s="247">
        <f t="shared" si="6"/>
        <v>4.6543749999999999</v>
      </c>
    </row>
    <row r="181" spans="1:20" x14ac:dyDescent="0.3">
      <c r="A181" s="240"/>
      <c r="B181" s="240"/>
      <c r="C181" s="225"/>
      <c r="D181" s="169" t="s">
        <v>385</v>
      </c>
      <c r="E181" s="165" t="s">
        <v>531</v>
      </c>
      <c r="F181" s="241">
        <v>7</v>
      </c>
      <c r="G181" s="242"/>
      <c r="H181" s="241">
        <v>200</v>
      </c>
      <c r="I181" s="243">
        <f>9.5/F181</f>
        <v>1.3571428571428572</v>
      </c>
      <c r="J181" s="244">
        <f t="shared" si="1"/>
        <v>147.36842105263156</v>
      </c>
      <c r="K181" s="241">
        <v>10</v>
      </c>
      <c r="L181" s="243">
        <v>26</v>
      </c>
      <c r="M181" s="241">
        <v>1</v>
      </c>
      <c r="N181" s="241">
        <v>4</v>
      </c>
      <c r="O181" s="264">
        <f t="shared" ref="O181:O191" si="7">N181*(F181*H181)</f>
        <v>5600</v>
      </c>
      <c r="P181" s="245">
        <f t="shared" si="3"/>
        <v>280</v>
      </c>
      <c r="Q181" s="245">
        <f t="shared" si="4"/>
        <v>728</v>
      </c>
      <c r="R181" s="246">
        <f t="shared" si="4"/>
        <v>28</v>
      </c>
      <c r="S181" s="246">
        <f t="shared" si="5"/>
        <v>38</v>
      </c>
      <c r="T181" s="247">
        <f t="shared" si="6"/>
        <v>2.375</v>
      </c>
    </row>
    <row r="182" spans="1:20" x14ac:dyDescent="0.3">
      <c r="A182" s="240"/>
      <c r="B182" s="240"/>
      <c r="C182" s="225"/>
      <c r="D182" s="169" t="s">
        <v>535</v>
      </c>
      <c r="E182" s="165" t="s">
        <v>531</v>
      </c>
      <c r="F182" s="241">
        <v>17</v>
      </c>
      <c r="G182" s="242"/>
      <c r="H182" s="241">
        <v>150</v>
      </c>
      <c r="I182" s="243">
        <f>18/F182</f>
        <v>1.0588235294117647</v>
      </c>
      <c r="J182" s="244">
        <f t="shared" si="1"/>
        <v>141.66666666666666</v>
      </c>
      <c r="K182" s="241">
        <v>8</v>
      </c>
      <c r="L182" s="243">
        <v>20</v>
      </c>
      <c r="M182" s="241">
        <v>1</v>
      </c>
      <c r="N182" s="241"/>
      <c r="O182" s="264">
        <f t="shared" si="7"/>
        <v>0</v>
      </c>
      <c r="P182" s="245">
        <f t="shared" si="3"/>
        <v>0</v>
      </c>
      <c r="Q182" s="245">
        <f t="shared" si="4"/>
        <v>0</v>
      </c>
      <c r="R182" s="246">
        <f t="shared" si="4"/>
        <v>0</v>
      </c>
      <c r="S182" s="246">
        <f t="shared" si="5"/>
        <v>0</v>
      </c>
      <c r="T182" s="247">
        <f t="shared" si="6"/>
        <v>0</v>
      </c>
    </row>
    <row r="183" spans="1:20" x14ac:dyDescent="0.3">
      <c r="A183" s="240"/>
      <c r="B183" s="240"/>
      <c r="C183" s="225"/>
      <c r="D183" s="169" t="s">
        <v>386</v>
      </c>
      <c r="E183" s="165"/>
      <c r="F183" s="241"/>
      <c r="G183" s="242"/>
      <c r="H183" s="241"/>
      <c r="I183" s="241"/>
      <c r="J183" s="244"/>
      <c r="K183" s="241"/>
      <c r="L183" s="243"/>
      <c r="M183" s="241"/>
      <c r="N183" s="241"/>
      <c r="O183" s="264">
        <f t="shared" si="7"/>
        <v>0</v>
      </c>
      <c r="P183" s="245">
        <f t="shared" si="3"/>
        <v>0</v>
      </c>
      <c r="Q183" s="245">
        <f t="shared" si="4"/>
        <v>0</v>
      </c>
      <c r="R183" s="246">
        <f t="shared" si="4"/>
        <v>0</v>
      </c>
      <c r="S183" s="246">
        <f t="shared" si="5"/>
        <v>0</v>
      </c>
      <c r="T183" s="247">
        <f t="shared" si="6"/>
        <v>0</v>
      </c>
    </row>
    <row r="184" spans="1:20" x14ac:dyDescent="0.3">
      <c r="A184" s="240"/>
      <c r="B184" s="240"/>
      <c r="C184" s="225"/>
      <c r="D184" s="169" t="s">
        <v>387</v>
      </c>
      <c r="E184" s="165"/>
      <c r="F184" s="241">
        <v>1</v>
      </c>
      <c r="G184" s="242"/>
      <c r="H184" s="244">
        <f>120/0.493835</f>
        <v>242.99614243623881</v>
      </c>
      <c r="I184" s="241">
        <v>1</v>
      </c>
      <c r="J184" s="244">
        <f>H184/I184</f>
        <v>242.99614243623881</v>
      </c>
      <c r="K184" s="244">
        <f>14/0.493835</f>
        <v>28.349549950894527</v>
      </c>
      <c r="L184" s="243">
        <v>0</v>
      </c>
      <c r="M184" s="241">
        <v>0</v>
      </c>
      <c r="N184" s="241">
        <v>16</v>
      </c>
      <c r="O184" s="264">
        <f t="shared" si="7"/>
        <v>3887.938278979821</v>
      </c>
      <c r="P184" s="245">
        <f t="shared" si="3"/>
        <v>453.59279921431244</v>
      </c>
      <c r="Q184" s="245">
        <f t="shared" si="4"/>
        <v>0</v>
      </c>
      <c r="R184" s="246">
        <f t="shared" si="4"/>
        <v>0</v>
      </c>
      <c r="S184" s="246">
        <f t="shared" si="5"/>
        <v>16</v>
      </c>
      <c r="T184" s="247">
        <f t="shared" si="6"/>
        <v>1</v>
      </c>
    </row>
    <row r="185" spans="1:20" x14ac:dyDescent="0.3">
      <c r="A185" s="240"/>
      <c r="B185" s="240"/>
      <c r="C185" s="225"/>
      <c r="D185" s="169" t="s">
        <v>388</v>
      </c>
      <c r="E185" s="165" t="s">
        <v>536</v>
      </c>
      <c r="F185" s="241">
        <v>4</v>
      </c>
      <c r="G185" s="242"/>
      <c r="H185" s="241">
        <v>200</v>
      </c>
      <c r="I185" s="248">
        <v>1.3404100000000001</v>
      </c>
      <c r="J185" s="244">
        <f>H185/I185</f>
        <v>149.20807812534969</v>
      </c>
      <c r="K185" s="241">
        <v>17</v>
      </c>
      <c r="L185" s="243">
        <v>17</v>
      </c>
      <c r="M185" s="241">
        <v>2</v>
      </c>
      <c r="N185" s="241">
        <v>3</v>
      </c>
      <c r="O185" s="264">
        <f t="shared" si="7"/>
        <v>2400</v>
      </c>
      <c r="P185" s="245">
        <f t="shared" si="3"/>
        <v>204</v>
      </c>
      <c r="Q185" s="245">
        <f t="shared" si="4"/>
        <v>204</v>
      </c>
      <c r="R185" s="246">
        <f t="shared" si="4"/>
        <v>24</v>
      </c>
      <c r="S185" s="246">
        <f t="shared" si="5"/>
        <v>16.08492</v>
      </c>
      <c r="T185" s="247">
        <f t="shared" si="6"/>
        <v>1.0053075</v>
      </c>
    </row>
    <row r="186" spans="1:20" x14ac:dyDescent="0.3">
      <c r="A186" s="240"/>
      <c r="B186" s="240"/>
      <c r="C186" s="225"/>
      <c r="D186" s="169" t="s">
        <v>388</v>
      </c>
      <c r="E186" s="165"/>
      <c r="F186" s="241">
        <v>8</v>
      </c>
      <c r="G186" s="242"/>
      <c r="H186" s="241">
        <v>120</v>
      </c>
      <c r="I186" s="248">
        <f>7/F186</f>
        <v>0.875</v>
      </c>
      <c r="J186" s="244">
        <f>H186/I186</f>
        <v>137.14285714285714</v>
      </c>
      <c r="K186" s="241">
        <v>7</v>
      </c>
      <c r="L186" s="243">
        <v>15</v>
      </c>
      <c r="M186" s="241">
        <v>2</v>
      </c>
      <c r="N186" s="241"/>
      <c r="O186" s="264">
        <f t="shared" si="7"/>
        <v>0</v>
      </c>
      <c r="P186" s="245">
        <f t="shared" si="3"/>
        <v>0</v>
      </c>
      <c r="Q186" s="245">
        <f t="shared" si="4"/>
        <v>0</v>
      </c>
      <c r="R186" s="246">
        <f t="shared" si="4"/>
        <v>0</v>
      </c>
      <c r="S186" s="246"/>
      <c r="T186" s="247"/>
    </row>
    <row r="187" spans="1:20" x14ac:dyDescent="0.3">
      <c r="A187" s="240"/>
      <c r="B187" s="240"/>
      <c r="C187" s="225"/>
      <c r="D187" s="169" t="s">
        <v>389</v>
      </c>
      <c r="E187" s="165"/>
      <c r="F187" s="241"/>
      <c r="G187" s="242"/>
      <c r="H187" s="241"/>
      <c r="I187" s="241"/>
      <c r="J187" s="241"/>
      <c r="K187" s="241"/>
      <c r="L187" s="243"/>
      <c r="M187" s="241"/>
      <c r="N187" s="241"/>
      <c r="O187" s="264">
        <f t="shared" si="7"/>
        <v>0</v>
      </c>
      <c r="P187" s="245">
        <f t="shared" si="3"/>
        <v>0</v>
      </c>
      <c r="Q187" s="245">
        <f t="shared" si="4"/>
        <v>0</v>
      </c>
      <c r="R187" s="246">
        <f t="shared" si="4"/>
        <v>0</v>
      </c>
      <c r="S187" s="246">
        <f t="shared" si="5"/>
        <v>0</v>
      </c>
      <c r="T187" s="247">
        <f t="shared" si="6"/>
        <v>0</v>
      </c>
    </row>
    <row r="188" spans="1:20" x14ac:dyDescent="0.3">
      <c r="A188" s="249"/>
      <c r="B188" s="249">
        <v>125</v>
      </c>
      <c r="C188" s="250"/>
      <c r="D188" s="169" t="s">
        <v>390</v>
      </c>
      <c r="E188" s="165"/>
      <c r="F188" s="241"/>
      <c r="G188" s="242"/>
      <c r="H188" s="241"/>
      <c r="I188" s="241"/>
      <c r="J188" s="241"/>
      <c r="K188" s="241"/>
      <c r="L188" s="243"/>
      <c r="M188" s="241"/>
      <c r="N188" s="241"/>
      <c r="O188" s="264">
        <f t="shared" si="7"/>
        <v>0</v>
      </c>
      <c r="P188" s="245">
        <f t="shared" si="3"/>
        <v>0</v>
      </c>
      <c r="Q188" s="245">
        <f t="shared" si="4"/>
        <v>0</v>
      </c>
      <c r="R188" s="246">
        <f t="shared" si="4"/>
        <v>0</v>
      </c>
      <c r="S188" s="246">
        <f t="shared" si="5"/>
        <v>0</v>
      </c>
      <c r="T188" s="247">
        <f t="shared" si="6"/>
        <v>0</v>
      </c>
    </row>
    <row r="189" spans="1:20" x14ac:dyDescent="0.3">
      <c r="A189" s="240"/>
      <c r="B189" s="240"/>
      <c r="C189" s="225"/>
      <c r="D189" s="169" t="s">
        <v>391</v>
      </c>
      <c r="E189" s="165"/>
      <c r="F189" s="241">
        <v>1</v>
      </c>
      <c r="G189" s="242"/>
      <c r="H189" s="241">
        <v>150</v>
      </c>
      <c r="I189" s="241">
        <v>1</v>
      </c>
      <c r="J189" s="241">
        <v>150</v>
      </c>
      <c r="K189" s="241">
        <v>8</v>
      </c>
      <c r="L189" s="243">
        <v>16</v>
      </c>
      <c r="M189" s="241">
        <v>3</v>
      </c>
      <c r="N189" s="241">
        <v>34</v>
      </c>
      <c r="O189" s="264">
        <f t="shared" si="7"/>
        <v>5100</v>
      </c>
      <c r="P189" s="245">
        <f t="shared" si="3"/>
        <v>272</v>
      </c>
      <c r="Q189" s="245">
        <f t="shared" si="4"/>
        <v>544</v>
      </c>
      <c r="R189" s="246">
        <f t="shared" si="4"/>
        <v>102</v>
      </c>
      <c r="S189" s="246">
        <f t="shared" si="5"/>
        <v>34</v>
      </c>
      <c r="T189" s="247">
        <f t="shared" si="6"/>
        <v>2.125</v>
      </c>
    </row>
    <row r="190" spans="1:20" x14ac:dyDescent="0.3">
      <c r="A190" s="249"/>
      <c r="B190" s="249"/>
      <c r="C190" s="250"/>
      <c r="D190" s="169" t="s">
        <v>532</v>
      </c>
      <c r="E190" s="165" t="s">
        <v>533</v>
      </c>
      <c r="F190" s="241">
        <v>13.75</v>
      </c>
      <c r="G190" s="242"/>
      <c r="H190" s="241">
        <v>190</v>
      </c>
      <c r="I190" s="248">
        <f>16/F190</f>
        <v>1.1636363636363636</v>
      </c>
      <c r="J190" s="244">
        <f>H190/I190</f>
        <v>163.28125</v>
      </c>
      <c r="K190" s="241">
        <v>16</v>
      </c>
      <c r="L190" s="243">
        <v>8</v>
      </c>
      <c r="M190" s="241">
        <v>7</v>
      </c>
      <c r="N190" s="241">
        <v>2</v>
      </c>
      <c r="O190" s="264">
        <f>N190*(F190*H190)</f>
        <v>5225</v>
      </c>
      <c r="P190" s="245">
        <f t="shared" si="3"/>
        <v>440</v>
      </c>
      <c r="Q190" s="245">
        <f>L190*$F190*$N190</f>
        <v>220</v>
      </c>
      <c r="R190" s="246">
        <f>M190*$F190*$N190</f>
        <v>192.5</v>
      </c>
      <c r="S190" s="246">
        <f>N190*F190*I190</f>
        <v>32</v>
      </c>
      <c r="T190" s="247">
        <f>S190/16</f>
        <v>2</v>
      </c>
    </row>
    <row r="191" spans="1:20" x14ac:dyDescent="0.3">
      <c r="A191" s="251"/>
      <c r="B191" s="251"/>
      <c r="C191" s="252"/>
      <c r="D191" s="169" t="s">
        <v>392</v>
      </c>
      <c r="E191" s="165" t="s">
        <v>534</v>
      </c>
      <c r="F191" s="241">
        <v>1</v>
      </c>
      <c r="G191" s="242"/>
      <c r="H191" s="241">
        <v>90</v>
      </c>
      <c r="I191" s="241">
        <v>1</v>
      </c>
      <c r="J191" s="241">
        <v>90</v>
      </c>
      <c r="K191" s="241">
        <v>2</v>
      </c>
      <c r="L191" s="243">
        <v>16</v>
      </c>
      <c r="M191" s="241">
        <v>16</v>
      </c>
      <c r="N191" s="241">
        <v>42</v>
      </c>
      <c r="O191" s="264">
        <f t="shared" si="7"/>
        <v>3780</v>
      </c>
      <c r="P191" s="245">
        <f t="shared" si="3"/>
        <v>84</v>
      </c>
      <c r="Q191" s="245">
        <f>L191*$F191*$N191</f>
        <v>672</v>
      </c>
      <c r="R191" s="246">
        <f>M191*$F191*$N191</f>
        <v>672</v>
      </c>
      <c r="S191" s="246">
        <f t="shared" si="5"/>
        <v>42</v>
      </c>
      <c r="T191" s="247">
        <f t="shared" si="6"/>
        <v>2.625</v>
      </c>
    </row>
    <row r="192" spans="1:20" x14ac:dyDescent="0.3">
      <c r="A192" s="162"/>
      <c r="B192" s="162"/>
      <c r="C192" s="162"/>
      <c r="D192" s="169" t="s">
        <v>70</v>
      </c>
      <c r="E192" s="165"/>
      <c r="F192" s="241"/>
      <c r="G192" s="242"/>
      <c r="H192" s="241"/>
      <c r="I192" s="241"/>
      <c r="J192" s="241"/>
      <c r="K192" s="241"/>
      <c r="L192" s="243"/>
      <c r="M192" s="241"/>
      <c r="N192" s="241"/>
      <c r="O192" s="264">
        <f t="shared" ref="O192:T192" si="8">SUM(O174:O191)</f>
        <v>71032.938278979826</v>
      </c>
      <c r="P192" s="245">
        <f t="shared" si="8"/>
        <v>4271.5927992143124</v>
      </c>
      <c r="Q192" s="245">
        <f t="shared" si="8"/>
        <v>5758</v>
      </c>
      <c r="R192" s="245">
        <f t="shared" si="8"/>
        <v>3202.5</v>
      </c>
      <c r="S192" s="245">
        <f t="shared" si="8"/>
        <v>475.65491999999995</v>
      </c>
      <c r="T192" s="253">
        <f t="shared" si="8"/>
        <v>29.728432499999997</v>
      </c>
    </row>
    <row r="193" spans="1:19" x14ac:dyDescent="0.3">
      <c r="A193" s="254"/>
      <c r="B193" s="254"/>
      <c r="C193" s="254"/>
      <c r="D193" s="184" t="s">
        <v>525</v>
      </c>
      <c r="E193" s="185"/>
      <c r="F193" s="255"/>
      <c r="G193" s="256"/>
      <c r="H193" s="255"/>
      <c r="I193" s="255"/>
      <c r="J193" s="255"/>
      <c r="K193" s="255"/>
      <c r="L193" s="257"/>
      <c r="M193" s="255"/>
      <c r="N193" s="255">
        <v>14</v>
      </c>
      <c r="O193" s="265">
        <f>N193*5000</f>
        <v>70000</v>
      </c>
      <c r="P193" s="258"/>
      <c r="Q193" s="258"/>
      <c r="R193" s="259"/>
      <c r="S193" s="260"/>
    </row>
    <row r="194" spans="1:19" x14ac:dyDescent="0.3">
      <c r="G194" s="3"/>
    </row>
    <row r="196" spans="1:19" x14ac:dyDescent="0.3">
      <c r="D196" s="169" t="s">
        <v>519</v>
      </c>
      <c r="E196" s="261" t="s">
        <v>518</v>
      </c>
      <c r="F196" s="241">
        <v>2</v>
      </c>
      <c r="G196" s="242"/>
      <c r="H196" s="241">
        <v>370</v>
      </c>
      <c r="I196" s="241">
        <f>5.15/2</f>
        <v>2.5750000000000002</v>
      </c>
      <c r="J196" s="244">
        <f>H196/I196</f>
        <v>143.6893203883495</v>
      </c>
      <c r="K196" s="241">
        <v>19</v>
      </c>
      <c r="L196" s="243">
        <v>30</v>
      </c>
      <c r="M196" s="241">
        <v>20</v>
      </c>
      <c r="N196" s="241">
        <v>0</v>
      </c>
    </row>
  </sheetData>
  <mergeCells count="1">
    <mergeCell ref="E31:E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7"/>
  <sheetViews>
    <sheetView topLeftCell="A7" zoomScale="45" zoomScaleNormal="45" workbookViewId="0">
      <selection activeCell="O22" sqref="O22"/>
    </sheetView>
  </sheetViews>
  <sheetFormatPr defaultRowHeight="14.4" x14ac:dyDescent="0.3"/>
  <sheetData>
    <row r="1" spans="1:22" ht="46.2" x14ac:dyDescent="0.85">
      <c r="A1" s="27"/>
      <c r="B1" s="27"/>
      <c r="C1" s="28"/>
      <c r="D1" s="29"/>
      <c r="E1" s="29"/>
      <c r="F1" s="29"/>
      <c r="G1" s="29"/>
      <c r="H1" s="29"/>
      <c r="I1" s="29"/>
      <c r="J1" s="29"/>
      <c r="K1" s="29"/>
      <c r="L1" s="29"/>
      <c r="M1" s="30"/>
      <c r="N1" s="12"/>
      <c r="O1" t="s">
        <v>102</v>
      </c>
    </row>
    <row r="2" spans="1:22" ht="46.2" x14ac:dyDescent="0.85">
      <c r="A2" s="27"/>
      <c r="B2" s="27"/>
      <c r="C2" s="31"/>
      <c r="D2" s="32"/>
      <c r="E2" s="32"/>
      <c r="F2" s="32"/>
      <c r="G2" s="32" t="s">
        <v>108</v>
      </c>
      <c r="H2" s="33"/>
      <c r="I2" s="27" t="s">
        <v>4</v>
      </c>
      <c r="J2" s="32"/>
      <c r="K2" s="32"/>
      <c r="L2" s="33"/>
      <c r="M2" s="34"/>
      <c r="O2" t="s">
        <v>2</v>
      </c>
      <c r="P2" t="s">
        <v>43</v>
      </c>
      <c r="Q2" t="s">
        <v>44</v>
      </c>
    </row>
    <row r="3" spans="1:22" ht="46.2" x14ac:dyDescent="0.85">
      <c r="A3" s="32" t="s">
        <v>428</v>
      </c>
      <c r="B3" s="32" t="s">
        <v>537</v>
      </c>
      <c r="C3" s="31" t="s">
        <v>2</v>
      </c>
      <c r="D3" s="32" t="s">
        <v>202</v>
      </c>
      <c r="E3" s="32" t="s">
        <v>201</v>
      </c>
      <c r="F3" s="27" t="s">
        <v>3</v>
      </c>
      <c r="G3" s="27" t="s">
        <v>43</v>
      </c>
      <c r="H3" s="27" t="s">
        <v>44</v>
      </c>
      <c r="I3" s="27"/>
      <c r="J3" s="27"/>
      <c r="K3" s="27"/>
      <c r="L3" s="27"/>
      <c r="M3" s="34"/>
      <c r="N3" s="89" t="s">
        <v>339</v>
      </c>
      <c r="V3" t="s">
        <v>274</v>
      </c>
    </row>
    <row r="4" spans="1:22" ht="46.2" x14ac:dyDescent="0.85">
      <c r="A4" s="63"/>
      <c r="B4" s="92"/>
      <c r="C4" s="69" t="s">
        <v>168</v>
      </c>
      <c r="D4" s="38"/>
      <c r="E4" s="37"/>
      <c r="F4" s="37"/>
      <c r="G4" s="37"/>
      <c r="H4" s="68"/>
      <c r="I4" s="35"/>
      <c r="J4" s="35"/>
      <c r="K4" s="35"/>
      <c r="L4" s="35"/>
      <c r="M4" s="129"/>
    </row>
    <row r="5" spans="1:22" ht="46.2" x14ac:dyDescent="0.85">
      <c r="A5" s="63"/>
      <c r="B5" s="92"/>
      <c r="C5" s="54" t="s">
        <v>165</v>
      </c>
      <c r="D5" s="37"/>
      <c r="E5" s="37"/>
      <c r="F5" s="37"/>
      <c r="G5" s="37"/>
      <c r="H5" s="68"/>
      <c r="I5" s="35"/>
      <c r="J5" s="35"/>
      <c r="K5" s="35"/>
      <c r="L5" s="35"/>
      <c r="M5" s="129"/>
    </row>
    <row r="6" spans="1:22" ht="46.2" x14ac:dyDescent="0.85">
      <c r="A6" s="63"/>
      <c r="B6" s="92" t="s">
        <v>157</v>
      </c>
      <c r="C6" s="54" t="s">
        <v>164</v>
      </c>
      <c r="D6" s="37"/>
      <c r="E6" s="37"/>
      <c r="F6" s="37"/>
      <c r="G6" s="37"/>
      <c r="H6" s="68"/>
      <c r="I6" s="35"/>
      <c r="J6" s="35"/>
      <c r="K6" s="35"/>
      <c r="L6" s="35"/>
      <c r="M6" s="129"/>
    </row>
    <row r="7" spans="1:22" ht="46.2" x14ac:dyDescent="0.85">
      <c r="A7" s="63"/>
      <c r="B7" s="92" t="s">
        <v>157</v>
      </c>
      <c r="C7" s="54" t="s">
        <v>393</v>
      </c>
      <c r="D7" s="37"/>
      <c r="E7" s="37">
        <v>2</v>
      </c>
      <c r="F7" s="37"/>
      <c r="G7" s="37"/>
      <c r="H7" s="68"/>
      <c r="I7" s="35"/>
      <c r="J7" s="35"/>
      <c r="K7" s="35"/>
      <c r="L7" s="35"/>
      <c r="M7" s="129"/>
    </row>
    <row r="8" spans="1:22" ht="46.2" x14ac:dyDescent="0.85">
      <c r="A8" s="63"/>
      <c r="B8" s="92" t="s">
        <v>157</v>
      </c>
      <c r="C8" s="54" t="s">
        <v>394</v>
      </c>
      <c r="D8" s="37"/>
      <c r="E8" s="37"/>
      <c r="F8" s="37"/>
      <c r="G8" s="37"/>
      <c r="H8" s="68"/>
      <c r="I8" s="35"/>
      <c r="J8" s="35"/>
      <c r="K8" s="35"/>
      <c r="L8" s="35"/>
      <c r="M8" s="129"/>
    </row>
    <row r="9" spans="1:22" ht="46.2" x14ac:dyDescent="0.85">
      <c r="A9" s="63"/>
      <c r="B9" s="92"/>
      <c r="C9" s="54" t="s">
        <v>395</v>
      </c>
      <c r="D9" s="37"/>
      <c r="E9" s="37"/>
      <c r="F9" s="37"/>
      <c r="G9" s="37"/>
      <c r="H9" s="68"/>
      <c r="I9" s="35"/>
      <c r="J9" s="35"/>
      <c r="K9" s="35"/>
      <c r="L9" s="35"/>
      <c r="M9" s="129"/>
    </row>
    <row r="10" spans="1:22" ht="46.2" x14ac:dyDescent="0.85">
      <c r="A10" s="63"/>
      <c r="B10" s="92" t="s">
        <v>157</v>
      </c>
      <c r="C10" s="54" t="s">
        <v>427</v>
      </c>
      <c r="D10" s="37"/>
      <c r="E10" s="37"/>
      <c r="F10" s="37"/>
      <c r="G10" s="37"/>
      <c r="H10" s="68"/>
      <c r="I10" s="35"/>
      <c r="J10" s="35"/>
      <c r="K10" s="35"/>
      <c r="L10" s="35"/>
      <c r="M10" s="129"/>
    </row>
    <row r="11" spans="1:22" ht="46.2" x14ac:dyDescent="0.85">
      <c r="A11" s="63"/>
      <c r="B11" s="100"/>
      <c r="C11" s="100" t="s">
        <v>500</v>
      </c>
      <c r="D11" s="60"/>
      <c r="E11" s="37"/>
      <c r="F11" s="37"/>
      <c r="G11" s="37"/>
      <c r="H11" s="68"/>
      <c r="I11" s="35"/>
      <c r="J11" s="35"/>
      <c r="K11" s="35"/>
      <c r="L11" s="35"/>
      <c r="M11" s="129"/>
    </row>
    <row r="12" spans="1:22" ht="46.2" x14ac:dyDescent="0.85">
      <c r="A12" s="63" t="s">
        <v>157</v>
      </c>
      <c r="B12" s="100"/>
      <c r="C12" s="100" t="s">
        <v>501</v>
      </c>
      <c r="D12" s="60"/>
      <c r="E12" s="37"/>
      <c r="F12" s="37"/>
      <c r="G12" s="37"/>
      <c r="H12" s="68"/>
      <c r="I12" s="35"/>
      <c r="J12" s="35"/>
      <c r="K12" s="35"/>
      <c r="L12" s="35"/>
      <c r="M12" s="129"/>
    </row>
    <row r="14" spans="1:22" ht="46.2" x14ac:dyDescent="0.85">
      <c r="A14" s="63" t="s">
        <v>157</v>
      </c>
      <c r="B14" s="130"/>
      <c r="C14" s="149" t="s">
        <v>429</v>
      </c>
      <c r="D14" s="54" t="s">
        <v>397</v>
      </c>
      <c r="E14" s="37"/>
      <c r="F14" s="39">
        <f>135*0.88</f>
        <v>118.8</v>
      </c>
      <c r="G14" s="37">
        <v>55</v>
      </c>
      <c r="H14" s="55">
        <f t="shared" ref="H14:H28" si="0">G14/16</f>
        <v>3.4375</v>
      </c>
      <c r="I14" s="35"/>
      <c r="J14" s="35"/>
      <c r="K14" s="35"/>
      <c r="L14" s="35"/>
      <c r="M14" s="129"/>
    </row>
    <row r="15" spans="1:22" ht="46.2" x14ac:dyDescent="0.85">
      <c r="A15" s="63" t="s">
        <v>157</v>
      </c>
      <c r="B15" s="131"/>
      <c r="C15" s="150"/>
      <c r="D15" s="54" t="s">
        <v>396</v>
      </c>
      <c r="E15" s="37"/>
      <c r="F15" s="39">
        <f>199*0.88</f>
        <v>175.12</v>
      </c>
      <c r="G15" s="40">
        <v>48</v>
      </c>
      <c r="H15" s="55">
        <f t="shared" si="0"/>
        <v>3</v>
      </c>
      <c r="I15" s="35"/>
      <c r="J15" s="35"/>
      <c r="K15" s="35"/>
      <c r="L15" s="35"/>
      <c r="M15" s="129"/>
    </row>
    <row r="16" spans="1:22" ht="46.2" x14ac:dyDescent="0.85">
      <c r="A16" s="63" t="s">
        <v>157</v>
      </c>
      <c r="B16" s="131"/>
      <c r="C16" s="150"/>
      <c r="D16" s="54" t="s">
        <v>398</v>
      </c>
      <c r="E16" s="37"/>
      <c r="F16" s="39">
        <f>44*0.88</f>
        <v>38.72</v>
      </c>
      <c r="G16" s="40">
        <f>3.5+2.5</f>
        <v>6</v>
      </c>
      <c r="H16" s="55">
        <f t="shared" si="0"/>
        <v>0.375</v>
      </c>
      <c r="I16" s="35"/>
      <c r="J16" s="35"/>
      <c r="K16" s="35"/>
      <c r="L16" s="35"/>
      <c r="M16" s="129"/>
    </row>
    <row r="17" spans="1:13" ht="46.2" x14ac:dyDescent="0.85">
      <c r="A17" s="63" t="s">
        <v>157</v>
      </c>
      <c r="B17" s="71"/>
      <c r="C17" s="151"/>
      <c r="D17" s="54" t="s">
        <v>399</v>
      </c>
      <c r="E17" s="37">
        <v>2</v>
      </c>
      <c r="F17" s="39">
        <f>19*0.88</f>
        <v>16.72</v>
      </c>
      <c r="G17" s="40">
        <f>2.3*E17</f>
        <v>4.5999999999999996</v>
      </c>
      <c r="H17" s="55">
        <f t="shared" si="0"/>
        <v>0.28749999999999998</v>
      </c>
      <c r="I17" s="35"/>
      <c r="J17" s="35"/>
      <c r="K17" s="35"/>
      <c r="L17" s="35"/>
      <c r="M17" s="129"/>
    </row>
    <row r="18" spans="1:13" ht="46.2" x14ac:dyDescent="0.85">
      <c r="A18" s="63"/>
      <c r="B18" s="92"/>
      <c r="C18" s="54"/>
      <c r="D18" s="37" t="s">
        <v>430</v>
      </c>
      <c r="E18" s="37"/>
      <c r="F18" s="39"/>
      <c r="G18" s="40"/>
      <c r="H18" s="55"/>
      <c r="I18" s="35" t="s">
        <v>431</v>
      </c>
      <c r="J18" s="35"/>
      <c r="K18" s="35"/>
      <c r="L18" s="35"/>
      <c r="M18" s="129"/>
    </row>
    <row r="19" spans="1:13" ht="46.2" x14ac:dyDescent="0.85">
      <c r="A19" s="63"/>
      <c r="B19" s="92"/>
      <c r="C19" s="54" t="s">
        <v>207</v>
      </c>
      <c r="D19" s="37" t="s">
        <v>84</v>
      </c>
      <c r="E19" s="37">
        <v>1</v>
      </c>
      <c r="F19" s="39">
        <v>34</v>
      </c>
      <c r="G19" s="40">
        <v>5.9</v>
      </c>
      <c r="H19" s="55">
        <f t="shared" si="0"/>
        <v>0.36875000000000002</v>
      </c>
      <c r="I19" s="35" t="s">
        <v>400</v>
      </c>
      <c r="J19" s="35"/>
      <c r="K19" s="35"/>
      <c r="L19" s="35"/>
      <c r="M19" s="129"/>
    </row>
    <row r="20" spans="1:13" ht="46.2" x14ac:dyDescent="0.85">
      <c r="A20" s="63"/>
      <c r="B20" s="92"/>
      <c r="C20" s="54" t="s">
        <v>599</v>
      </c>
      <c r="D20" s="37" t="s">
        <v>598</v>
      </c>
      <c r="E20" s="37"/>
      <c r="F20" s="39"/>
      <c r="G20" s="40"/>
      <c r="H20" s="55"/>
      <c r="I20" s="35"/>
      <c r="J20" s="35"/>
      <c r="K20" s="35"/>
      <c r="L20" s="35"/>
      <c r="M20" s="129"/>
    </row>
    <row r="21" spans="1:13" ht="46.2" x14ac:dyDescent="0.85">
      <c r="A21" s="63"/>
      <c r="B21" s="92" t="s">
        <v>157</v>
      </c>
      <c r="C21" s="54" t="s">
        <v>600</v>
      </c>
      <c r="D21" s="37"/>
      <c r="E21" s="37"/>
      <c r="F21" s="39"/>
      <c r="G21" s="40"/>
      <c r="H21" s="55"/>
      <c r="I21" s="35"/>
      <c r="J21" s="35"/>
      <c r="K21" s="35"/>
      <c r="L21" s="35"/>
      <c r="M21" s="129"/>
    </row>
    <row r="22" spans="1:13" ht="46.2" x14ac:dyDescent="0.85">
      <c r="A22" s="63" t="s">
        <v>157</v>
      </c>
      <c r="B22" s="92"/>
      <c r="C22" s="142" t="s">
        <v>402</v>
      </c>
      <c r="D22" s="43" t="s">
        <v>401</v>
      </c>
      <c r="E22" s="37">
        <v>1</v>
      </c>
      <c r="F22" s="39"/>
      <c r="G22" s="40">
        <v>2</v>
      </c>
      <c r="H22" s="55">
        <f t="shared" si="0"/>
        <v>0.125</v>
      </c>
      <c r="I22" s="35"/>
      <c r="J22" s="35"/>
      <c r="K22" s="35"/>
      <c r="L22" s="35"/>
      <c r="M22" s="129"/>
    </row>
    <row r="23" spans="1:13" ht="46.2" x14ac:dyDescent="0.85">
      <c r="A23" s="63"/>
      <c r="B23" s="92"/>
      <c r="C23" s="54" t="s">
        <v>404</v>
      </c>
      <c r="D23" s="37" t="s">
        <v>403</v>
      </c>
      <c r="E23" s="37">
        <v>1</v>
      </c>
      <c r="F23" s="39"/>
      <c r="G23" s="40">
        <v>5.7</v>
      </c>
      <c r="H23" s="55">
        <f t="shared" si="0"/>
        <v>0.35625000000000001</v>
      </c>
      <c r="I23" s="35" t="s">
        <v>486</v>
      </c>
      <c r="J23" s="35"/>
      <c r="K23" s="35"/>
      <c r="L23" s="35"/>
      <c r="M23" s="129"/>
    </row>
    <row r="24" spans="1:13" ht="46.2" x14ac:dyDescent="0.85">
      <c r="A24" s="63" t="s">
        <v>157</v>
      </c>
      <c r="B24" s="92"/>
      <c r="C24" s="54" t="s">
        <v>405</v>
      </c>
      <c r="D24" s="37" t="s">
        <v>401</v>
      </c>
      <c r="E24" s="37">
        <v>1</v>
      </c>
      <c r="F24" s="39"/>
      <c r="G24" s="40">
        <v>2.7</v>
      </c>
      <c r="H24" s="55">
        <f t="shared" si="0"/>
        <v>0.16875000000000001</v>
      </c>
      <c r="I24" s="35"/>
      <c r="J24" s="35"/>
      <c r="K24" s="35"/>
      <c r="L24" s="35"/>
      <c r="M24" s="129"/>
    </row>
    <row r="25" spans="1:13" ht="46.2" x14ac:dyDescent="0.85">
      <c r="A25" s="63" t="s">
        <v>157</v>
      </c>
      <c r="B25" s="92"/>
      <c r="I25" s="35"/>
      <c r="J25" s="35"/>
      <c r="K25" s="35"/>
      <c r="L25" s="35"/>
      <c r="M25" s="129"/>
    </row>
    <row r="26" spans="1:13" ht="46.2" x14ac:dyDescent="0.85">
      <c r="A26" s="63" t="s">
        <v>157</v>
      </c>
      <c r="B26" s="92"/>
      <c r="C26" s="54" t="s">
        <v>216</v>
      </c>
      <c r="D26" s="37" t="s">
        <v>111</v>
      </c>
      <c r="E26" s="37">
        <v>1</v>
      </c>
      <c r="F26" s="41">
        <v>258</v>
      </c>
      <c r="G26" s="37">
        <v>30.6</v>
      </c>
      <c r="H26" s="55">
        <f t="shared" si="0"/>
        <v>1.9125000000000001</v>
      </c>
      <c r="I26" s="35"/>
      <c r="J26" s="35"/>
      <c r="K26" s="35"/>
      <c r="L26" s="35"/>
      <c r="M26" s="129"/>
    </row>
    <row r="27" spans="1:13" ht="46.2" x14ac:dyDescent="0.85">
      <c r="A27" s="63" t="s">
        <v>157</v>
      </c>
      <c r="B27" s="92"/>
      <c r="C27" s="54" t="s">
        <v>217</v>
      </c>
      <c r="D27" s="37" t="s">
        <v>71</v>
      </c>
      <c r="E27" s="37">
        <v>1</v>
      </c>
      <c r="F27" s="41">
        <v>35.89</v>
      </c>
      <c r="G27" s="37">
        <v>4</v>
      </c>
      <c r="H27" s="55">
        <f t="shared" si="0"/>
        <v>0.25</v>
      </c>
      <c r="I27" s="35"/>
      <c r="J27" s="35"/>
      <c r="K27" s="35"/>
      <c r="L27" s="35"/>
      <c r="M27" s="129"/>
    </row>
    <row r="28" spans="1:13" ht="46.2" x14ac:dyDescent="0.85">
      <c r="A28" s="63" t="s">
        <v>157</v>
      </c>
      <c r="B28" s="92"/>
      <c r="C28" s="54" t="s">
        <v>218</v>
      </c>
      <c r="D28" s="37" t="s">
        <v>75</v>
      </c>
      <c r="E28" s="37">
        <v>1</v>
      </c>
      <c r="F28" s="41">
        <v>143.96</v>
      </c>
      <c r="G28" s="37">
        <v>21</v>
      </c>
      <c r="H28" s="55">
        <f t="shared" si="0"/>
        <v>1.3125</v>
      </c>
      <c r="I28" s="35"/>
      <c r="J28" s="35"/>
      <c r="K28" s="35"/>
      <c r="L28" s="35"/>
      <c r="M28" s="129"/>
    </row>
    <row r="29" spans="1:13" ht="409.6" x14ac:dyDescent="0.85">
      <c r="A29" s="63" t="s">
        <v>157</v>
      </c>
      <c r="B29" s="100"/>
      <c r="C29" s="56" t="s">
        <v>250</v>
      </c>
      <c r="D29" s="57" t="s">
        <v>251</v>
      </c>
      <c r="E29" s="57">
        <v>5</v>
      </c>
      <c r="F29" s="41"/>
      <c r="G29" s="37"/>
      <c r="H29" s="55"/>
      <c r="I29" s="147" t="s">
        <v>450</v>
      </c>
      <c r="J29" s="147"/>
      <c r="K29" s="147"/>
      <c r="L29" s="147"/>
      <c r="M29" s="148"/>
    </row>
    <row r="30" spans="1:13" ht="46.2" x14ac:dyDescent="0.85">
      <c r="A30" s="63" t="s">
        <v>157</v>
      </c>
      <c r="B30" s="92"/>
      <c r="C30" s="54" t="s">
        <v>219</v>
      </c>
      <c r="D30" s="37" t="s">
        <v>69</v>
      </c>
      <c r="E30" s="37">
        <v>1</v>
      </c>
      <c r="F30" s="41">
        <v>49.95</v>
      </c>
      <c r="G30" s="37">
        <v>7.4</v>
      </c>
      <c r="H30" s="55">
        <f>G30/16</f>
        <v>0.46250000000000002</v>
      </c>
      <c r="I30" s="35"/>
      <c r="J30" s="35"/>
      <c r="K30" s="35"/>
      <c r="L30" s="35"/>
      <c r="M30" s="129"/>
    </row>
    <row r="31" spans="1:13" ht="46.2" x14ac:dyDescent="0.85">
      <c r="A31" s="63"/>
      <c r="B31" s="92"/>
      <c r="C31" s="54" t="s">
        <v>255</v>
      </c>
      <c r="D31" s="37" t="s">
        <v>406</v>
      </c>
      <c r="E31" s="37">
        <v>2</v>
      </c>
      <c r="F31" s="41"/>
      <c r="G31" s="37">
        <v>3.2</v>
      </c>
      <c r="H31" s="55">
        <f>G31/16*E31</f>
        <v>0.4</v>
      </c>
      <c r="I31" s="35"/>
      <c r="J31" s="35"/>
      <c r="K31" s="35"/>
      <c r="L31" s="35"/>
      <c r="M31" s="129"/>
    </row>
    <row r="32" spans="1:13" ht="46.2" x14ac:dyDescent="0.85">
      <c r="A32" s="63" t="s">
        <v>157</v>
      </c>
      <c r="B32" s="92"/>
      <c r="C32" s="54" t="s">
        <v>256</v>
      </c>
      <c r="D32" s="37" t="s">
        <v>69</v>
      </c>
      <c r="E32" s="37">
        <v>2</v>
      </c>
      <c r="F32" s="41"/>
      <c r="G32" s="37">
        <v>7.4</v>
      </c>
      <c r="H32" s="55">
        <f>G32/16*E32</f>
        <v>0.92500000000000004</v>
      </c>
      <c r="I32" s="35"/>
      <c r="J32" s="35"/>
      <c r="K32" s="35"/>
      <c r="L32" s="35"/>
      <c r="M32" s="129"/>
    </row>
    <row r="33" spans="1:14" ht="46.2" x14ac:dyDescent="0.85">
      <c r="A33" s="63"/>
      <c r="B33" s="92"/>
      <c r="C33" s="54" t="s">
        <v>159</v>
      </c>
      <c r="D33" s="144" t="s">
        <v>463</v>
      </c>
      <c r="E33" s="37">
        <v>1</v>
      </c>
      <c r="F33" s="41"/>
      <c r="G33" s="37"/>
      <c r="H33" s="55"/>
      <c r="I33" s="35"/>
      <c r="J33" s="35"/>
      <c r="K33" s="35"/>
      <c r="L33" s="35"/>
      <c r="M33" s="129"/>
    </row>
    <row r="34" spans="1:14" ht="46.2" x14ac:dyDescent="0.85">
      <c r="A34" s="63"/>
      <c r="B34" s="92"/>
      <c r="C34" s="54" t="s">
        <v>462</v>
      </c>
      <c r="D34" s="145"/>
      <c r="E34" s="37"/>
      <c r="F34" s="41"/>
      <c r="G34" s="37"/>
      <c r="H34" s="55"/>
      <c r="I34" s="35"/>
      <c r="J34" s="35"/>
      <c r="K34" s="35"/>
      <c r="L34" s="35"/>
      <c r="M34" s="129"/>
    </row>
    <row r="35" spans="1:14" ht="46.2" x14ac:dyDescent="0.85">
      <c r="A35" s="63"/>
      <c r="B35" s="92"/>
      <c r="C35" s="54" t="s">
        <v>465</v>
      </c>
      <c r="D35" s="145"/>
      <c r="E35" s="37">
        <v>1</v>
      </c>
      <c r="F35" s="41"/>
      <c r="G35" s="37"/>
      <c r="H35" s="55"/>
      <c r="I35" s="35"/>
      <c r="J35" s="35"/>
      <c r="K35" s="35"/>
      <c r="L35" s="35"/>
      <c r="M35" s="129"/>
    </row>
    <row r="36" spans="1:14" ht="46.2" x14ac:dyDescent="0.85">
      <c r="A36" s="63"/>
      <c r="B36" s="92"/>
      <c r="C36" s="54" t="s">
        <v>467</v>
      </c>
      <c r="D36" s="146"/>
      <c r="E36" s="37">
        <v>9</v>
      </c>
      <c r="F36" s="41"/>
      <c r="G36" s="37"/>
      <c r="H36" s="55"/>
      <c r="I36" s="35"/>
      <c r="J36" s="35"/>
      <c r="K36" s="35"/>
      <c r="L36" s="35"/>
      <c r="M36" s="129"/>
    </row>
    <row r="37" spans="1:14" ht="46.2" x14ac:dyDescent="0.85">
      <c r="A37" s="63"/>
      <c r="B37" s="92"/>
      <c r="C37" s="54" t="s">
        <v>160</v>
      </c>
      <c r="D37" s="37" t="s">
        <v>505</v>
      </c>
      <c r="E37" s="37">
        <v>1</v>
      </c>
      <c r="F37" s="41"/>
      <c r="G37" s="37">
        <v>8</v>
      </c>
      <c r="H37" s="55">
        <f>G37/16</f>
        <v>0.5</v>
      </c>
      <c r="I37" s="35" t="s">
        <v>464</v>
      </c>
      <c r="J37" s="35"/>
      <c r="K37" s="35"/>
      <c r="L37" s="35"/>
      <c r="M37" s="129"/>
    </row>
    <row r="38" spans="1:14" ht="46.2" x14ac:dyDescent="0.85">
      <c r="A38" s="63"/>
      <c r="B38" s="92"/>
      <c r="C38" s="54" t="s">
        <v>466</v>
      </c>
      <c r="D38" s="37"/>
      <c r="E38" s="37"/>
      <c r="F38" s="41"/>
      <c r="G38" s="37"/>
      <c r="H38" s="55"/>
      <c r="I38" s="35" t="s">
        <v>469</v>
      </c>
      <c r="J38" s="35"/>
      <c r="K38" s="35"/>
      <c r="L38" s="35"/>
      <c r="M38" s="129"/>
    </row>
    <row r="39" spans="1:14" ht="46.2" x14ac:dyDescent="0.85">
      <c r="A39" s="63" t="s">
        <v>157</v>
      </c>
      <c r="B39" s="92"/>
      <c r="C39" s="54" t="s">
        <v>470</v>
      </c>
      <c r="D39" s="37"/>
      <c r="E39" s="37"/>
      <c r="F39" s="41"/>
      <c r="G39" s="37"/>
      <c r="H39" s="55"/>
      <c r="I39" s="35" t="s">
        <v>471</v>
      </c>
      <c r="J39" s="35"/>
      <c r="K39" s="35"/>
      <c r="L39" s="35"/>
      <c r="M39" s="129"/>
    </row>
    <row r="40" spans="1:14" ht="46.2" x14ac:dyDescent="0.85">
      <c r="I40" s="35" t="s">
        <v>407</v>
      </c>
      <c r="J40" s="35"/>
      <c r="K40" s="35"/>
      <c r="L40" s="35"/>
      <c r="M40" s="129"/>
      <c r="N40" s="88" t="s">
        <v>432</v>
      </c>
    </row>
    <row r="41" spans="1:14" ht="46.2" x14ac:dyDescent="0.85">
      <c r="A41" s="63"/>
      <c r="B41" s="92"/>
      <c r="C41" s="54" t="s">
        <v>220</v>
      </c>
      <c r="D41" s="37" t="s">
        <v>124</v>
      </c>
      <c r="E41" s="37">
        <v>1</v>
      </c>
      <c r="F41" s="37"/>
      <c r="G41" s="37">
        <f>H41*16</f>
        <v>104</v>
      </c>
      <c r="H41" s="68">
        <v>6.5</v>
      </c>
      <c r="I41" s="35"/>
      <c r="J41" s="35"/>
      <c r="K41" s="35"/>
      <c r="L41" s="35"/>
      <c r="M41" s="129"/>
    </row>
    <row r="42" spans="1:14" ht="46.2" x14ac:dyDescent="0.85">
      <c r="A42" s="63"/>
      <c r="B42" s="92"/>
      <c r="C42" s="54" t="s">
        <v>491</v>
      </c>
      <c r="D42" s="37" t="s">
        <v>490</v>
      </c>
      <c r="E42" s="37"/>
      <c r="F42" s="37"/>
      <c r="G42" s="37">
        <v>40</v>
      </c>
      <c r="H42" s="68"/>
      <c r="I42" s="35"/>
      <c r="J42" s="35"/>
      <c r="K42" s="35"/>
      <c r="L42" s="35"/>
      <c r="M42" s="129"/>
    </row>
    <row r="43" spans="1:14" ht="46.2" x14ac:dyDescent="0.85">
      <c r="A43" s="63"/>
      <c r="B43" s="92"/>
      <c r="C43" s="54" t="s">
        <v>493</v>
      </c>
      <c r="D43" s="37" t="s">
        <v>494</v>
      </c>
      <c r="E43" s="37">
        <v>15</v>
      </c>
      <c r="F43" s="37"/>
      <c r="G43" s="37"/>
      <c r="H43" s="68"/>
      <c r="I43" s="35"/>
      <c r="J43" s="35"/>
      <c r="K43" s="35"/>
      <c r="L43" s="35"/>
      <c r="M43" s="129"/>
    </row>
    <row r="44" spans="1:14" ht="46.2" x14ac:dyDescent="0.85">
      <c r="A44" s="63"/>
      <c r="B44" s="92"/>
      <c r="C44" s="54" t="s">
        <v>221</v>
      </c>
      <c r="D44" s="37" t="s">
        <v>126</v>
      </c>
      <c r="E44" s="37">
        <v>1</v>
      </c>
      <c r="F44" s="37"/>
      <c r="G44" s="37">
        <v>15.9</v>
      </c>
      <c r="H44" s="55">
        <f>G44/16</f>
        <v>0.99375000000000002</v>
      </c>
      <c r="I44" s="35"/>
      <c r="J44" s="35"/>
      <c r="K44" s="35"/>
      <c r="L44" s="35"/>
      <c r="M44" s="129"/>
    </row>
    <row r="45" spans="1:14" ht="46.2" x14ac:dyDescent="0.85">
      <c r="A45" s="63"/>
      <c r="B45" s="92"/>
      <c r="C45" s="54" t="s">
        <v>433</v>
      </c>
      <c r="D45" s="37" t="s">
        <v>434</v>
      </c>
      <c r="E45" s="37"/>
      <c r="F45" s="37"/>
      <c r="G45" s="37"/>
      <c r="H45" s="55"/>
      <c r="I45" s="35" t="s">
        <v>435</v>
      </c>
      <c r="J45" s="35"/>
      <c r="K45" s="35"/>
      <c r="L45" s="35"/>
      <c r="M45" s="129"/>
    </row>
    <row r="46" spans="1:14" ht="46.2" x14ac:dyDescent="0.85">
      <c r="A46" s="63"/>
      <c r="B46" s="92"/>
      <c r="C46" s="54" t="s">
        <v>492</v>
      </c>
      <c r="D46" s="37" t="s">
        <v>166</v>
      </c>
      <c r="E46" s="37">
        <v>10</v>
      </c>
      <c r="F46" s="37"/>
      <c r="G46" s="37" t="s">
        <v>167</v>
      </c>
      <c r="H46" s="55" t="e">
        <f>G46/16</f>
        <v>#VALUE!</v>
      </c>
      <c r="I46" s="35" t="s">
        <v>436</v>
      </c>
      <c r="J46" s="35"/>
      <c r="K46" s="35"/>
      <c r="L46" s="35"/>
      <c r="M46" s="129"/>
    </row>
    <row r="47" spans="1:14" ht="46.2" x14ac:dyDescent="0.85">
      <c r="A47" s="63"/>
      <c r="B47" s="92"/>
      <c r="C47" s="54" t="s">
        <v>146</v>
      </c>
      <c r="D47" s="37"/>
      <c r="E47" s="37"/>
      <c r="F47" s="37"/>
      <c r="G47" s="37"/>
      <c r="H47" s="68"/>
      <c r="I47" s="35"/>
      <c r="J47" s="35"/>
      <c r="K47" s="35"/>
      <c r="L47" s="35"/>
      <c r="M47" s="129"/>
    </row>
    <row r="48" spans="1:14" ht="46.2" x14ac:dyDescent="0.85">
      <c r="A48" s="63"/>
      <c r="B48" s="92"/>
      <c r="C48" s="54" t="s">
        <v>409</v>
      </c>
      <c r="D48" s="37"/>
      <c r="E48" s="37"/>
      <c r="F48" s="37"/>
      <c r="G48" s="37"/>
      <c r="H48" s="68"/>
      <c r="I48" s="35" t="s">
        <v>437</v>
      </c>
      <c r="J48" s="35"/>
      <c r="K48" s="35"/>
      <c r="L48" s="35"/>
      <c r="M48" s="129"/>
    </row>
    <row r="49" spans="1:14" ht="46.2" x14ac:dyDescent="0.85">
      <c r="A49" s="63"/>
      <c r="B49" s="92"/>
      <c r="C49" s="54" t="s">
        <v>413</v>
      </c>
      <c r="D49" s="37" t="s">
        <v>414</v>
      </c>
      <c r="E49" s="37"/>
      <c r="F49" s="37"/>
      <c r="G49" s="37">
        <v>7.5</v>
      </c>
      <c r="H49" s="55">
        <f>G49/16</f>
        <v>0.46875</v>
      </c>
      <c r="I49" s="35"/>
      <c r="J49" s="35"/>
      <c r="K49" s="35"/>
      <c r="L49" s="35"/>
      <c r="M49" s="129"/>
    </row>
    <row r="50" spans="1:14" ht="46.2" x14ac:dyDescent="0.85">
      <c r="A50" s="63" t="s">
        <v>157</v>
      </c>
      <c r="B50" s="92"/>
      <c r="C50" s="54" t="s">
        <v>134</v>
      </c>
      <c r="D50" s="37" t="s">
        <v>223</v>
      </c>
      <c r="E50" s="37"/>
      <c r="F50" s="41">
        <v>151</v>
      </c>
      <c r="G50" s="37">
        <v>15.9</v>
      </c>
      <c r="H50" s="55">
        <f>G50/16</f>
        <v>0.99375000000000002</v>
      </c>
      <c r="I50" s="35" t="s">
        <v>438</v>
      </c>
      <c r="J50" s="35"/>
      <c r="K50" s="35"/>
      <c r="L50" s="35"/>
      <c r="M50" s="129"/>
    </row>
    <row r="51" spans="1:14" ht="46.2" x14ac:dyDescent="0.85">
      <c r="A51" s="63" t="s">
        <v>157</v>
      </c>
      <c r="B51" s="92"/>
      <c r="C51" s="54" t="s">
        <v>411</v>
      </c>
      <c r="D51" s="37" t="s">
        <v>412</v>
      </c>
      <c r="E51" s="37"/>
      <c r="F51" s="41"/>
      <c r="G51" s="37">
        <v>48.3</v>
      </c>
      <c r="H51" s="55">
        <f>G51/16</f>
        <v>3.0187499999999998</v>
      </c>
      <c r="I51" s="35"/>
      <c r="J51" s="35"/>
      <c r="K51" s="35"/>
      <c r="L51" s="35"/>
      <c r="M51" s="129"/>
    </row>
    <row r="52" spans="1:14" ht="46.2" x14ac:dyDescent="0.85">
      <c r="A52" s="63" t="s">
        <v>157</v>
      </c>
      <c r="B52" s="92"/>
      <c r="C52" s="54" t="s">
        <v>439</v>
      </c>
      <c r="D52" s="37" t="s">
        <v>473</v>
      </c>
      <c r="E52" s="37"/>
      <c r="F52" s="41"/>
      <c r="G52" s="37"/>
      <c r="H52" s="55"/>
      <c r="I52" s="35" t="s">
        <v>472</v>
      </c>
      <c r="J52" s="35"/>
      <c r="K52" s="35"/>
      <c r="L52" s="35"/>
      <c r="M52" s="129"/>
    </row>
    <row r="53" spans="1:14" ht="46.2" x14ac:dyDescent="0.85">
      <c r="A53" s="63"/>
      <c r="B53" s="92"/>
      <c r="C53" s="54" t="s">
        <v>496</v>
      </c>
      <c r="D53" s="37" t="s">
        <v>498</v>
      </c>
      <c r="E53" s="37"/>
      <c r="F53" s="41"/>
      <c r="G53" s="37"/>
      <c r="H53" s="55"/>
      <c r="I53" s="35"/>
      <c r="J53" s="35"/>
      <c r="K53" s="35"/>
      <c r="L53" s="35"/>
      <c r="M53" s="129"/>
      <c r="N53" s="99" t="s">
        <v>495</v>
      </c>
    </row>
    <row r="54" spans="1:14" ht="46.2" x14ac:dyDescent="0.85">
      <c r="A54" s="63"/>
      <c r="B54" s="92"/>
      <c r="C54" s="54" t="s">
        <v>497</v>
      </c>
      <c r="D54" s="37" t="s">
        <v>498</v>
      </c>
      <c r="E54" s="37"/>
      <c r="F54" s="41"/>
      <c r="G54" s="37"/>
      <c r="H54" s="55"/>
      <c r="I54" s="35"/>
      <c r="J54" s="35"/>
      <c r="K54" s="35"/>
      <c r="L54" s="35"/>
      <c r="M54" s="129"/>
      <c r="N54" s="99"/>
    </row>
    <row r="55" spans="1:14" ht="46.2" x14ac:dyDescent="0.85">
      <c r="A55" s="63"/>
      <c r="B55" s="92"/>
      <c r="C55" s="54" t="s">
        <v>229</v>
      </c>
      <c r="D55" s="37" t="s">
        <v>65</v>
      </c>
      <c r="E55" s="37"/>
      <c r="F55" s="41">
        <v>144</v>
      </c>
      <c r="G55" s="37">
        <v>14</v>
      </c>
      <c r="H55" s="55">
        <f>G55/16</f>
        <v>0.875</v>
      </c>
      <c r="I55" s="35"/>
      <c r="J55" s="35"/>
      <c r="K55" s="35"/>
      <c r="L55" s="35"/>
      <c r="M55" s="129"/>
    </row>
    <row r="56" spans="1:14" ht="46.2" x14ac:dyDescent="0.85">
      <c r="A56" s="63"/>
      <c r="B56" s="92"/>
      <c r="C56" s="54" t="s">
        <v>230</v>
      </c>
      <c r="D56" s="37" t="s">
        <v>440</v>
      </c>
      <c r="E56" s="37">
        <v>2</v>
      </c>
      <c r="F56" s="41">
        <v>4.95</v>
      </c>
      <c r="G56" s="37">
        <v>13.4</v>
      </c>
      <c r="H56" s="55">
        <f>G56/16</f>
        <v>0.83750000000000002</v>
      </c>
      <c r="I56" s="35"/>
      <c r="J56" s="35"/>
      <c r="K56" s="35"/>
      <c r="L56" s="35"/>
      <c r="M56" s="129"/>
    </row>
    <row r="57" spans="1:14" ht="46.2" x14ac:dyDescent="0.85">
      <c r="A57" s="63" t="s">
        <v>157</v>
      </c>
      <c r="B57" s="92"/>
      <c r="C57" s="54" t="s">
        <v>225</v>
      </c>
      <c r="D57" s="37" t="s">
        <v>226</v>
      </c>
      <c r="E57" s="37"/>
      <c r="F57" s="41">
        <v>8.9499999999999993</v>
      </c>
      <c r="G57" s="37">
        <v>0.63</v>
      </c>
      <c r="H57" s="55">
        <f>G57/16</f>
        <v>3.9375E-2</v>
      </c>
      <c r="I57" s="35"/>
      <c r="J57" s="35"/>
      <c r="K57" s="35"/>
      <c r="L57" s="35"/>
      <c r="M57" s="129"/>
    </row>
    <row r="58" spans="1:14" ht="46.2" x14ac:dyDescent="0.85">
      <c r="A58" s="63"/>
      <c r="B58" s="92"/>
      <c r="C58" s="54" t="s">
        <v>271</v>
      </c>
      <c r="D58" s="37"/>
      <c r="E58" s="37"/>
      <c r="F58" s="41"/>
      <c r="G58" s="37"/>
      <c r="H58" s="55"/>
      <c r="I58" s="35" t="s">
        <v>441</v>
      </c>
      <c r="J58" s="35"/>
      <c r="K58" s="35"/>
      <c r="L58" s="35"/>
      <c r="M58" s="129"/>
    </row>
    <row r="59" spans="1:14" ht="46.2" x14ac:dyDescent="0.85">
      <c r="A59" s="63" t="s">
        <v>157</v>
      </c>
      <c r="B59" s="92"/>
      <c r="C59" s="54" t="s">
        <v>227</v>
      </c>
      <c r="D59" s="37" t="s">
        <v>442</v>
      </c>
      <c r="E59" s="37"/>
      <c r="F59" s="41">
        <v>19.95</v>
      </c>
      <c r="G59" s="37">
        <v>2.7</v>
      </c>
      <c r="H59" s="55">
        <f>G59/16</f>
        <v>0.16875000000000001</v>
      </c>
      <c r="I59" s="35" t="s">
        <v>443</v>
      </c>
      <c r="J59" s="35"/>
      <c r="K59" s="35"/>
      <c r="L59" s="35"/>
      <c r="M59" s="129"/>
    </row>
    <row r="60" spans="1:14" ht="46.2" x14ac:dyDescent="0.85">
      <c r="A60" s="63" t="s">
        <v>157</v>
      </c>
      <c r="B60" s="92" t="s">
        <v>157</v>
      </c>
      <c r="C60" s="54" t="s">
        <v>72</v>
      </c>
      <c r="D60" s="37"/>
      <c r="E60" s="37"/>
      <c r="F60" s="41">
        <v>5</v>
      </c>
      <c r="G60" s="37">
        <v>4</v>
      </c>
      <c r="H60" s="55">
        <f>G60/16</f>
        <v>0.25</v>
      </c>
      <c r="I60" s="35"/>
      <c r="J60" s="35"/>
      <c r="K60" s="35"/>
      <c r="L60" s="35"/>
      <c r="M60" s="129"/>
    </row>
    <row r="61" spans="1:14" ht="46.2" x14ac:dyDescent="0.85">
      <c r="A61" s="63" t="s">
        <v>157</v>
      </c>
      <c r="B61" s="92"/>
      <c r="C61" s="54" t="s">
        <v>446</v>
      </c>
      <c r="D61" s="54" t="s">
        <v>83</v>
      </c>
      <c r="E61" s="37"/>
      <c r="F61" s="41">
        <v>59.89</v>
      </c>
      <c r="G61" s="37">
        <v>5</v>
      </c>
      <c r="H61" s="55">
        <f>G61/16</f>
        <v>0.3125</v>
      </c>
      <c r="I61" s="35"/>
      <c r="J61" s="35"/>
      <c r="K61" s="35"/>
      <c r="L61" s="35"/>
      <c r="M61" s="129"/>
    </row>
    <row r="62" spans="1:14" ht="46.2" x14ac:dyDescent="0.85">
      <c r="A62" s="63"/>
      <c r="B62" s="92"/>
      <c r="C62" s="54" t="s">
        <v>180</v>
      </c>
      <c r="D62" s="37" t="s">
        <v>447</v>
      </c>
      <c r="E62" s="37"/>
      <c r="F62" s="41"/>
      <c r="G62" s="37"/>
      <c r="H62" s="55"/>
      <c r="I62" s="35"/>
      <c r="J62" s="35"/>
      <c r="K62" s="35"/>
      <c r="L62" s="35"/>
      <c r="M62" s="129"/>
    </row>
    <row r="63" spans="1:14" ht="46.2" x14ac:dyDescent="0.85">
      <c r="A63" s="63"/>
      <c r="B63" s="92"/>
      <c r="C63" s="54" t="s">
        <v>142</v>
      </c>
      <c r="D63" s="37" t="s">
        <v>448</v>
      </c>
      <c r="E63" s="37"/>
      <c r="F63" s="41"/>
      <c r="G63" s="37"/>
      <c r="H63" s="55"/>
      <c r="I63" s="35"/>
      <c r="J63" s="35"/>
      <c r="K63" s="35"/>
      <c r="L63" s="35"/>
      <c r="M63" s="129"/>
    </row>
    <row r="64" spans="1:14" ht="46.2" x14ac:dyDescent="0.85">
      <c r="A64" s="63"/>
      <c r="B64" s="92"/>
      <c r="C64" s="54" t="s">
        <v>143</v>
      </c>
      <c r="D64" s="37"/>
      <c r="E64" s="37">
        <v>4</v>
      </c>
      <c r="F64" s="41"/>
      <c r="G64" s="37"/>
      <c r="H64" s="55"/>
      <c r="I64" s="35"/>
      <c r="J64" s="35"/>
      <c r="K64" s="35"/>
      <c r="L64" s="35"/>
      <c r="M64" s="129"/>
    </row>
    <row r="65" spans="1:13" ht="46.2" x14ac:dyDescent="0.85">
      <c r="A65" s="63"/>
      <c r="B65" s="92"/>
      <c r="C65" s="54" t="s">
        <v>474</v>
      </c>
      <c r="D65" s="37" t="s">
        <v>477</v>
      </c>
      <c r="E65" s="37">
        <v>3</v>
      </c>
      <c r="F65" s="37"/>
      <c r="G65" s="37"/>
      <c r="H65" s="55"/>
      <c r="I65" s="35" t="s">
        <v>476</v>
      </c>
      <c r="J65" s="35"/>
      <c r="K65" s="35"/>
      <c r="L65" s="35"/>
      <c r="M65" s="129"/>
    </row>
    <row r="66" spans="1:13" ht="46.2" x14ac:dyDescent="0.85">
      <c r="A66" s="63"/>
      <c r="B66" s="92"/>
      <c r="C66" s="54" t="s">
        <v>328</v>
      </c>
      <c r="D66" s="37"/>
      <c r="E66" s="37">
        <v>6</v>
      </c>
      <c r="F66" s="37"/>
      <c r="G66" s="37">
        <v>0.7</v>
      </c>
      <c r="H66" s="55">
        <f>G66/16</f>
        <v>4.3749999999999997E-2</v>
      </c>
      <c r="I66" s="35" t="s">
        <v>475</v>
      </c>
      <c r="J66" s="35"/>
      <c r="K66" s="35"/>
      <c r="L66" s="35"/>
      <c r="M66" s="129"/>
    </row>
    <row r="67" spans="1:13" ht="46.2" x14ac:dyDescent="0.85">
      <c r="A67" s="63" t="s">
        <v>157</v>
      </c>
      <c r="B67" s="100"/>
      <c r="C67" s="95" t="s">
        <v>120</v>
      </c>
      <c r="D67" s="46"/>
      <c r="E67" s="46"/>
      <c r="F67" s="47"/>
      <c r="G67" s="46"/>
      <c r="H67" s="96"/>
      <c r="I67" s="35" t="s">
        <v>478</v>
      </c>
      <c r="J67" s="35"/>
      <c r="K67" s="35"/>
      <c r="L67" s="35"/>
      <c r="M67" s="129"/>
    </row>
    <row r="68" spans="1:13" ht="46.2" x14ac:dyDescent="0.85">
      <c r="A68" s="92"/>
      <c r="B68" s="132"/>
      <c r="C68" s="49" t="s">
        <v>449</v>
      </c>
      <c r="D68" s="51"/>
      <c r="E68" s="51"/>
      <c r="F68" s="52"/>
      <c r="G68" s="51"/>
      <c r="H68" s="53"/>
      <c r="I68" s="35"/>
      <c r="J68" s="35"/>
      <c r="K68" s="35"/>
      <c r="L68" s="35"/>
      <c r="M68" s="129"/>
    </row>
    <row r="69" spans="1:13" ht="46.2" x14ac:dyDescent="0.85">
      <c r="A69" s="92" t="s">
        <v>157</v>
      </c>
      <c r="B69" s="92"/>
      <c r="C69" s="54" t="s">
        <v>277</v>
      </c>
      <c r="D69" s="37" t="s">
        <v>564</v>
      </c>
      <c r="E69" s="37">
        <v>1</v>
      </c>
      <c r="F69" s="41">
        <v>4.95</v>
      </c>
      <c r="G69" s="37"/>
      <c r="H69" s="55"/>
      <c r="I69" s="35"/>
      <c r="J69" s="35"/>
      <c r="K69" s="35"/>
      <c r="L69" s="35"/>
      <c r="M69" s="129"/>
    </row>
    <row r="70" spans="1:13" ht="46.2" x14ac:dyDescent="0.85">
      <c r="A70" s="92"/>
      <c r="B70" s="92"/>
      <c r="C70" s="54" t="s">
        <v>139</v>
      </c>
      <c r="D70" s="37" t="s">
        <v>564</v>
      </c>
      <c r="E70" s="37">
        <v>1</v>
      </c>
      <c r="F70" s="41"/>
      <c r="G70" s="37"/>
      <c r="H70" s="55"/>
      <c r="I70" s="35"/>
      <c r="J70" s="35"/>
      <c r="K70" s="35"/>
      <c r="L70" s="35"/>
      <c r="M70" s="129"/>
    </row>
    <row r="71" spans="1:13" ht="46.2" x14ac:dyDescent="0.85">
      <c r="A71" s="92" t="s">
        <v>157</v>
      </c>
      <c r="B71" s="92"/>
      <c r="C71" s="54" t="s">
        <v>144</v>
      </c>
      <c r="D71" s="37"/>
      <c r="E71" s="37">
        <v>2</v>
      </c>
      <c r="F71" s="41"/>
      <c r="G71" s="37"/>
      <c r="H71" s="55"/>
      <c r="I71" s="35"/>
      <c r="J71" s="35"/>
      <c r="K71" s="35"/>
      <c r="L71" s="35"/>
      <c r="M71" s="129"/>
    </row>
    <row r="72" spans="1:13" ht="46.2" x14ac:dyDescent="0.85">
      <c r="A72" s="92" t="s">
        <v>157</v>
      </c>
      <c r="B72" s="92"/>
      <c r="C72" s="54" t="s">
        <v>140</v>
      </c>
      <c r="D72" s="37"/>
      <c r="E72" s="37">
        <v>28</v>
      </c>
      <c r="F72" s="41"/>
      <c r="G72" s="37"/>
      <c r="H72" s="55"/>
      <c r="I72" s="35"/>
      <c r="J72" s="35"/>
      <c r="K72" s="35"/>
      <c r="L72" s="35"/>
      <c r="M72" s="129"/>
    </row>
    <row r="73" spans="1:13" ht="46.2" x14ac:dyDescent="0.85">
      <c r="A73" s="92" t="s">
        <v>157</v>
      </c>
      <c r="B73" s="92"/>
      <c r="C73" s="54" t="s">
        <v>204</v>
      </c>
      <c r="D73" s="37"/>
      <c r="E73" s="37">
        <v>1</v>
      </c>
      <c r="F73" s="41"/>
      <c r="G73" s="37"/>
      <c r="H73" s="55"/>
      <c r="I73" s="35"/>
      <c r="J73" s="35"/>
      <c r="K73" s="35"/>
      <c r="L73" s="35"/>
      <c r="M73" s="129"/>
    </row>
    <row r="74" spans="1:13" ht="46.2" x14ac:dyDescent="0.85">
      <c r="A74" s="92" t="s">
        <v>157</v>
      </c>
      <c r="B74" s="92"/>
      <c r="C74" s="54" t="s">
        <v>231</v>
      </c>
      <c r="D74" s="37" t="s">
        <v>564</v>
      </c>
      <c r="E74" s="37">
        <v>1</v>
      </c>
      <c r="F74" s="41"/>
      <c r="G74" s="37"/>
      <c r="H74" s="55"/>
      <c r="I74" s="35" t="s">
        <v>454</v>
      </c>
      <c r="J74" s="35"/>
      <c r="K74" s="35"/>
      <c r="L74" s="35"/>
      <c r="M74" s="129"/>
    </row>
    <row r="75" spans="1:13" ht="46.2" x14ac:dyDescent="0.85">
      <c r="A75" s="92" t="s">
        <v>157</v>
      </c>
      <c r="B75" s="92" t="s">
        <v>167</v>
      </c>
      <c r="C75" s="54" t="s">
        <v>455</v>
      </c>
      <c r="D75" s="37" t="s">
        <v>565</v>
      </c>
      <c r="E75" s="37">
        <v>1</v>
      </c>
      <c r="F75" s="41"/>
      <c r="G75" s="37"/>
      <c r="H75" s="55"/>
      <c r="I75" s="35" t="s">
        <v>457</v>
      </c>
      <c r="J75" s="35"/>
      <c r="K75" s="35"/>
      <c r="L75" s="35"/>
      <c r="M75" s="129"/>
    </row>
    <row r="76" spans="1:13" ht="46.2" x14ac:dyDescent="0.85">
      <c r="A76" s="92" t="s">
        <v>157</v>
      </c>
      <c r="B76" s="92" t="s">
        <v>167</v>
      </c>
      <c r="C76" s="54" t="s">
        <v>456</v>
      </c>
      <c r="D76" s="37" t="s">
        <v>566</v>
      </c>
      <c r="E76" s="37">
        <v>1</v>
      </c>
      <c r="F76" s="41"/>
      <c r="G76" s="37"/>
      <c r="H76" s="55"/>
      <c r="I76" s="35" t="s">
        <v>457</v>
      </c>
      <c r="J76" s="35"/>
      <c r="K76" s="35"/>
      <c r="L76" s="35"/>
      <c r="M76" s="129"/>
    </row>
    <row r="77" spans="1:13" ht="46.2" x14ac:dyDescent="0.85">
      <c r="A77" s="92"/>
      <c r="B77" s="92"/>
      <c r="C77" s="54" t="s">
        <v>198</v>
      </c>
      <c r="D77" s="37"/>
      <c r="E77" s="37"/>
      <c r="F77" s="41"/>
      <c r="G77" s="37"/>
      <c r="H77" s="55"/>
      <c r="I77" s="35" t="s">
        <v>451</v>
      </c>
      <c r="J77" s="35"/>
      <c r="K77" s="35"/>
      <c r="L77" s="35"/>
      <c r="M77" s="129"/>
    </row>
    <row r="78" spans="1:13" ht="46.2" x14ac:dyDescent="0.85">
      <c r="A78" s="92" t="s">
        <v>157</v>
      </c>
      <c r="B78" s="92"/>
      <c r="C78" s="54" t="s">
        <v>209</v>
      </c>
      <c r="D78" s="37" t="s">
        <v>452</v>
      </c>
      <c r="E78" s="37">
        <v>10</v>
      </c>
      <c r="F78" s="37"/>
      <c r="G78" s="37"/>
      <c r="H78" s="68"/>
      <c r="I78" s="35" t="s">
        <v>453</v>
      </c>
      <c r="J78" s="35"/>
      <c r="K78" s="35"/>
      <c r="L78" s="35"/>
      <c r="M78" s="129"/>
    </row>
    <row r="79" spans="1:13" ht="46.2" x14ac:dyDescent="0.85">
      <c r="A79" s="92"/>
      <c r="B79" s="100"/>
      <c r="C79" s="95" t="s">
        <v>602</v>
      </c>
      <c r="D79" s="46"/>
      <c r="E79" s="46"/>
      <c r="F79" s="46"/>
      <c r="G79" s="46"/>
      <c r="H79" s="143"/>
      <c r="I79" s="35"/>
      <c r="J79" s="35"/>
      <c r="K79" s="35"/>
      <c r="L79" s="35"/>
      <c r="M79" s="129"/>
    </row>
    <row r="80" spans="1:13" ht="46.2" x14ac:dyDescent="0.85">
      <c r="A80" s="92"/>
      <c r="B80" s="100"/>
      <c r="C80" s="95" t="s">
        <v>601</v>
      </c>
      <c r="D80" s="46"/>
      <c r="E80" s="46"/>
      <c r="F80" s="46"/>
      <c r="G80" s="46"/>
      <c r="H80" s="143"/>
      <c r="I80" s="35"/>
      <c r="J80" s="35"/>
      <c r="K80" s="35"/>
      <c r="L80" s="35"/>
      <c r="M80" s="129"/>
    </row>
    <row r="81" spans="1:13" ht="46.2" x14ac:dyDescent="0.85">
      <c r="A81" s="92" t="s">
        <v>157</v>
      </c>
      <c r="B81" s="100"/>
      <c r="C81" s="95" t="s">
        <v>5</v>
      </c>
      <c r="D81" s="46" t="s">
        <v>85</v>
      </c>
      <c r="E81" s="46"/>
      <c r="F81" s="47">
        <v>50</v>
      </c>
      <c r="G81" s="46">
        <v>4.2</v>
      </c>
      <c r="H81" s="96">
        <f>G81/16</f>
        <v>0.26250000000000001</v>
      </c>
      <c r="I81" s="35"/>
      <c r="J81" s="35"/>
      <c r="K81" s="35"/>
      <c r="L81" s="35"/>
      <c r="M81" s="129"/>
    </row>
    <row r="82" spans="1:13" ht="46.2" x14ac:dyDescent="0.85">
      <c r="A82" s="92" t="s">
        <v>157</v>
      </c>
      <c r="B82" s="132"/>
      <c r="C82" s="49" t="s">
        <v>458</v>
      </c>
      <c r="D82" s="51"/>
      <c r="E82" s="51"/>
      <c r="F82" s="52"/>
      <c r="G82" s="51"/>
      <c r="H82" s="53"/>
      <c r="I82" s="35"/>
      <c r="J82" s="35"/>
      <c r="K82" s="35"/>
      <c r="L82" s="35"/>
      <c r="M82" s="129"/>
    </row>
    <row r="83" spans="1:13" ht="46.2" x14ac:dyDescent="0.85">
      <c r="A83" s="63" t="s">
        <v>157</v>
      </c>
      <c r="B83" s="92"/>
      <c r="C83" s="54" t="s">
        <v>135</v>
      </c>
      <c r="D83" s="37"/>
      <c r="E83" s="37">
        <v>1</v>
      </c>
      <c r="F83" s="41"/>
      <c r="G83" s="37"/>
      <c r="H83" s="55"/>
      <c r="I83" s="35" t="s">
        <v>461</v>
      </c>
      <c r="J83" s="35"/>
      <c r="K83" s="35"/>
      <c r="L83" s="35"/>
      <c r="M83" s="129"/>
    </row>
    <row r="84" spans="1:13" ht="46.2" x14ac:dyDescent="0.85">
      <c r="A84" s="63" t="s">
        <v>157</v>
      </c>
      <c r="B84" s="92"/>
      <c r="C84" s="54" t="s">
        <v>444</v>
      </c>
      <c r="D84" s="54" t="s">
        <v>597</v>
      </c>
      <c r="E84" s="37">
        <v>1</v>
      </c>
      <c r="F84" s="41">
        <v>299</v>
      </c>
      <c r="G84" s="37">
        <v>3.5</v>
      </c>
      <c r="H84" s="55">
        <f>G84/16</f>
        <v>0.21875</v>
      </c>
      <c r="I84" s="35" t="s">
        <v>445</v>
      </c>
      <c r="J84" s="35"/>
      <c r="K84" s="35"/>
      <c r="L84" s="35"/>
      <c r="M84" s="129"/>
    </row>
    <row r="85" spans="1:13" ht="46.2" x14ac:dyDescent="0.85">
      <c r="A85" s="92" t="s">
        <v>157</v>
      </c>
      <c r="B85" s="92"/>
      <c r="C85" s="54" t="s">
        <v>459</v>
      </c>
      <c r="D85" s="37"/>
      <c r="E85" s="37">
        <v>1</v>
      </c>
      <c r="F85" s="41"/>
      <c r="G85" s="37"/>
      <c r="H85" s="55"/>
      <c r="I85" s="35"/>
      <c r="J85" s="35"/>
      <c r="K85" s="35"/>
      <c r="L85" s="35"/>
      <c r="M85" s="129"/>
    </row>
    <row r="86" spans="1:13" ht="46.2" x14ac:dyDescent="0.85">
      <c r="A86" s="92" t="s">
        <v>157</v>
      </c>
      <c r="B86" s="92"/>
      <c r="C86" s="54" t="s">
        <v>460</v>
      </c>
      <c r="D86" s="37"/>
      <c r="E86" s="37">
        <v>1</v>
      </c>
      <c r="F86" s="41"/>
      <c r="G86" s="37"/>
      <c r="H86" s="55"/>
      <c r="I86" s="35"/>
      <c r="J86" s="35"/>
      <c r="K86" s="35"/>
      <c r="L86" s="35"/>
      <c r="M86" s="129"/>
    </row>
    <row r="87" spans="1:13" ht="46.2" x14ac:dyDescent="0.85">
      <c r="A87" s="92"/>
      <c r="B87" s="100"/>
      <c r="C87" s="94"/>
      <c r="D87" s="57"/>
      <c r="E87" s="57"/>
      <c r="F87" s="58"/>
      <c r="G87" s="57"/>
      <c r="H87" s="59"/>
      <c r="I87" s="35"/>
      <c r="J87" s="35"/>
      <c r="K87" s="35"/>
      <c r="L87" s="35"/>
      <c r="M87" s="129"/>
    </row>
    <row r="88" spans="1:13" ht="46.2" x14ac:dyDescent="0.85">
      <c r="A88" s="92"/>
      <c r="B88" s="132"/>
      <c r="C88" s="91" t="s">
        <v>555</v>
      </c>
      <c r="D88" s="72"/>
      <c r="E88" s="72"/>
      <c r="F88" s="74"/>
      <c r="G88" s="72"/>
      <c r="H88" s="97"/>
      <c r="I88" s="35"/>
      <c r="J88" s="35"/>
      <c r="K88" s="35"/>
      <c r="L88" s="35"/>
      <c r="M88" s="129"/>
    </row>
    <row r="89" spans="1:13" ht="46.2" x14ac:dyDescent="0.85">
      <c r="A89" s="92" t="s">
        <v>157</v>
      </c>
      <c r="B89" s="132"/>
      <c r="C89" s="90" t="s">
        <v>560</v>
      </c>
      <c r="D89" s="72"/>
      <c r="E89" s="72">
        <v>2</v>
      </c>
      <c r="F89" s="74"/>
      <c r="G89" s="72"/>
      <c r="H89" s="97"/>
      <c r="I89" s="35"/>
      <c r="J89" s="35"/>
      <c r="K89" s="35"/>
      <c r="L89" s="35"/>
      <c r="M89" s="129"/>
    </row>
    <row r="90" spans="1:13" ht="46.2" x14ac:dyDescent="0.85">
      <c r="A90" s="92" t="s">
        <v>157</v>
      </c>
      <c r="B90" s="132"/>
      <c r="C90" s="90" t="s">
        <v>539</v>
      </c>
      <c r="D90" s="72"/>
      <c r="E90" s="72">
        <v>4</v>
      </c>
      <c r="F90" s="74"/>
      <c r="G90" s="72"/>
      <c r="H90" s="97"/>
      <c r="I90" s="35"/>
      <c r="J90" s="35"/>
      <c r="K90" s="35"/>
      <c r="L90" s="35"/>
      <c r="M90" s="129"/>
    </row>
    <row r="91" spans="1:13" ht="46.2" x14ac:dyDescent="0.85">
      <c r="A91" s="92" t="s">
        <v>157</v>
      </c>
      <c r="B91" s="132"/>
      <c r="C91" s="90" t="s">
        <v>540</v>
      </c>
      <c r="D91" s="72"/>
      <c r="E91" s="72">
        <v>4</v>
      </c>
      <c r="F91" s="74"/>
      <c r="G91" s="72"/>
      <c r="H91" s="97"/>
      <c r="I91" s="35"/>
      <c r="J91" s="35"/>
      <c r="K91" s="35"/>
      <c r="L91" s="35"/>
      <c r="M91" s="129"/>
    </row>
    <row r="92" spans="1:13" ht="46.2" x14ac:dyDescent="0.85">
      <c r="A92" s="92" t="s">
        <v>157</v>
      </c>
      <c r="B92" s="132"/>
      <c r="C92" s="90" t="s">
        <v>542</v>
      </c>
      <c r="D92" s="72"/>
      <c r="E92" s="72">
        <v>4</v>
      </c>
      <c r="F92" s="74"/>
      <c r="G92" s="72"/>
      <c r="H92" s="97"/>
      <c r="I92" s="35"/>
      <c r="J92" s="35"/>
      <c r="K92" s="35"/>
      <c r="L92" s="35"/>
      <c r="M92" s="129"/>
    </row>
    <row r="93" spans="1:13" ht="46.2" x14ac:dyDescent="0.85">
      <c r="A93" s="92" t="s">
        <v>157</v>
      </c>
      <c r="B93" s="132"/>
      <c r="C93" s="90" t="s">
        <v>551</v>
      </c>
      <c r="D93" s="72"/>
      <c r="E93" s="72">
        <v>4</v>
      </c>
      <c r="F93" s="74"/>
      <c r="G93" s="72"/>
      <c r="H93" s="97"/>
      <c r="I93" s="35"/>
      <c r="J93" s="35"/>
      <c r="K93" s="35"/>
      <c r="L93" s="35"/>
      <c r="M93" s="129"/>
    </row>
    <row r="94" spans="1:13" ht="46.2" x14ac:dyDescent="0.85">
      <c r="A94" s="92" t="s">
        <v>157</v>
      </c>
      <c r="B94" s="132"/>
      <c r="C94" s="90" t="s">
        <v>554</v>
      </c>
      <c r="D94" s="72"/>
      <c r="E94" s="72">
        <v>2</v>
      </c>
      <c r="F94" s="74"/>
      <c r="G94" s="72"/>
      <c r="H94" s="97"/>
      <c r="I94" s="35"/>
      <c r="J94" s="35"/>
      <c r="K94" s="35"/>
      <c r="L94" s="35"/>
      <c r="M94" s="129"/>
    </row>
    <row r="95" spans="1:13" ht="46.2" x14ac:dyDescent="0.85">
      <c r="A95" s="92" t="s">
        <v>157</v>
      </c>
      <c r="B95" s="132"/>
      <c r="C95" s="90" t="s">
        <v>552</v>
      </c>
      <c r="D95" s="72"/>
      <c r="E95" s="72">
        <v>2</v>
      </c>
      <c r="F95" s="74"/>
      <c r="G95" s="72"/>
      <c r="H95" s="97"/>
      <c r="I95" s="35"/>
      <c r="J95" s="35"/>
      <c r="K95" s="35"/>
      <c r="L95" s="35"/>
      <c r="M95" s="129"/>
    </row>
    <row r="96" spans="1:13" ht="46.2" x14ac:dyDescent="0.85">
      <c r="A96" s="92"/>
      <c r="B96" s="132"/>
      <c r="C96" s="90" t="s">
        <v>553</v>
      </c>
      <c r="D96" s="72"/>
      <c r="E96" s="72">
        <v>1</v>
      </c>
      <c r="F96" s="74"/>
      <c r="G96" s="72"/>
      <c r="H96" s="97"/>
      <c r="I96" s="35"/>
      <c r="J96" s="35"/>
      <c r="K96" s="35"/>
      <c r="L96" s="35"/>
      <c r="M96" s="129"/>
    </row>
    <row r="97" spans="1:13" ht="46.2" x14ac:dyDescent="0.85">
      <c r="A97" s="92" t="s">
        <v>157</v>
      </c>
      <c r="B97" s="132"/>
      <c r="C97" s="90" t="s">
        <v>544</v>
      </c>
      <c r="D97" s="72" t="s">
        <v>545</v>
      </c>
      <c r="E97" s="72">
        <v>20</v>
      </c>
      <c r="F97" s="74"/>
      <c r="G97" s="72"/>
      <c r="H97" s="97"/>
      <c r="I97" s="35"/>
      <c r="J97" s="35"/>
      <c r="K97" s="35"/>
      <c r="L97" s="35"/>
      <c r="M97" s="129"/>
    </row>
    <row r="98" spans="1:13" ht="46.2" x14ac:dyDescent="0.85">
      <c r="A98" s="92" t="s">
        <v>157</v>
      </c>
      <c r="B98" s="132"/>
      <c r="C98" s="90" t="s">
        <v>546</v>
      </c>
      <c r="D98" s="72"/>
      <c r="E98" s="72">
        <v>4</v>
      </c>
      <c r="F98" s="74"/>
      <c r="G98" s="72"/>
      <c r="H98" s="97"/>
      <c r="I98" s="35"/>
      <c r="J98" s="35"/>
      <c r="K98" s="35"/>
      <c r="L98" s="35"/>
      <c r="M98" s="129"/>
    </row>
    <row r="99" spans="1:13" ht="46.2" x14ac:dyDescent="0.85">
      <c r="A99" s="92" t="s">
        <v>157</v>
      </c>
      <c r="B99" s="132"/>
      <c r="C99" s="90" t="s">
        <v>550</v>
      </c>
      <c r="D99" s="72"/>
      <c r="E99" s="72">
        <v>4</v>
      </c>
      <c r="F99" s="74"/>
      <c r="G99" s="72"/>
      <c r="H99" s="97"/>
      <c r="I99" s="35"/>
      <c r="J99" s="35"/>
      <c r="K99" s="35"/>
      <c r="L99" s="35"/>
      <c r="M99" s="129"/>
    </row>
    <row r="100" spans="1:13" ht="46.2" x14ac:dyDescent="0.85">
      <c r="A100" s="92" t="s">
        <v>157</v>
      </c>
      <c r="B100" s="132"/>
      <c r="C100" s="90" t="s">
        <v>549</v>
      </c>
      <c r="D100" s="72"/>
      <c r="E100" s="72">
        <v>4</v>
      </c>
      <c r="F100" s="74"/>
      <c r="G100" s="72"/>
      <c r="H100" s="97"/>
      <c r="I100" s="35"/>
      <c r="J100" s="35"/>
      <c r="K100" s="35"/>
      <c r="L100" s="35"/>
      <c r="M100" s="129"/>
    </row>
    <row r="101" spans="1:13" ht="46.2" x14ac:dyDescent="0.85">
      <c r="A101" s="92"/>
      <c r="B101" s="132"/>
      <c r="C101" s="90" t="s">
        <v>561</v>
      </c>
      <c r="D101" s="72"/>
      <c r="E101" s="72">
        <v>1</v>
      </c>
      <c r="F101" s="74"/>
      <c r="G101" s="72"/>
      <c r="H101" s="97"/>
      <c r="I101" s="35"/>
      <c r="J101" s="35"/>
      <c r="K101" s="35"/>
      <c r="L101" s="35"/>
      <c r="M101" s="129"/>
    </row>
    <row r="102" spans="1:13" ht="409.6" x14ac:dyDescent="0.85">
      <c r="A102" s="92"/>
      <c r="B102" s="132"/>
      <c r="C102" s="90" t="s">
        <v>547</v>
      </c>
      <c r="D102" s="140" t="s">
        <v>548</v>
      </c>
      <c r="E102" s="72">
        <v>1</v>
      </c>
      <c r="F102" s="74"/>
      <c r="G102" s="72">
        <v>4.4000000000000004</v>
      </c>
      <c r="H102" s="97"/>
      <c r="I102" s="35"/>
      <c r="J102" s="35"/>
      <c r="K102" s="35"/>
      <c r="L102" s="35"/>
      <c r="M102" s="129"/>
    </row>
    <row r="103" spans="1:13" ht="46.2" x14ac:dyDescent="0.85">
      <c r="A103" s="92" t="s">
        <v>157</v>
      </c>
      <c r="B103" s="132"/>
      <c r="C103" s="90" t="s">
        <v>543</v>
      </c>
      <c r="D103" s="140"/>
      <c r="E103" s="72">
        <v>1</v>
      </c>
      <c r="F103" s="74"/>
      <c r="G103" s="72"/>
      <c r="H103" s="97"/>
      <c r="I103" s="35"/>
      <c r="J103" s="35"/>
      <c r="K103" s="35"/>
      <c r="L103" s="35"/>
      <c r="M103" s="129"/>
    </row>
    <row r="104" spans="1:13" ht="46.2" x14ac:dyDescent="0.85">
      <c r="A104" s="92" t="s">
        <v>157</v>
      </c>
      <c r="B104" s="132"/>
      <c r="C104" s="90" t="s">
        <v>541</v>
      </c>
      <c r="D104" s="140"/>
      <c r="E104" s="72">
        <v>4</v>
      </c>
      <c r="F104" s="74"/>
      <c r="G104" s="72"/>
      <c r="H104" s="97"/>
      <c r="I104" s="35"/>
      <c r="J104" s="35"/>
      <c r="K104" s="35"/>
      <c r="L104" s="35"/>
      <c r="M104" s="129"/>
    </row>
    <row r="105" spans="1:13" ht="46.2" x14ac:dyDescent="0.85">
      <c r="A105" s="92" t="s">
        <v>157</v>
      </c>
      <c r="B105" s="132"/>
      <c r="C105" s="90" t="s">
        <v>562</v>
      </c>
      <c r="D105" s="140"/>
      <c r="E105" s="72">
        <v>1</v>
      </c>
      <c r="F105" s="74"/>
      <c r="G105" s="72"/>
      <c r="H105" s="97"/>
      <c r="I105" s="35"/>
      <c r="J105" s="35"/>
      <c r="K105" s="35"/>
      <c r="L105" s="35"/>
      <c r="M105" s="129"/>
    </row>
    <row r="106" spans="1:13" ht="46.2" x14ac:dyDescent="0.85">
      <c r="A106" s="92"/>
      <c r="B106" s="132"/>
      <c r="C106" s="90"/>
      <c r="D106" s="140"/>
      <c r="E106" s="72"/>
      <c r="F106" s="74"/>
      <c r="G106" s="72"/>
      <c r="H106" s="97"/>
      <c r="I106" s="35"/>
      <c r="J106" s="35"/>
      <c r="K106" s="35"/>
      <c r="L106" s="35"/>
      <c r="M106" s="129"/>
    </row>
    <row r="107" spans="1:13" ht="46.2" x14ac:dyDescent="0.85">
      <c r="A107" s="92"/>
      <c r="B107" s="132"/>
      <c r="C107" s="91" t="s">
        <v>556</v>
      </c>
      <c r="D107" s="140"/>
      <c r="E107" s="72"/>
      <c r="F107" s="74"/>
      <c r="G107" s="72"/>
      <c r="H107" s="97"/>
      <c r="I107" s="35"/>
      <c r="J107" s="35"/>
      <c r="K107" s="35"/>
      <c r="L107" s="35"/>
      <c r="M107" s="129"/>
    </row>
    <row r="108" spans="1:13" ht="46.2" x14ac:dyDescent="0.85">
      <c r="A108" s="92" t="s">
        <v>157</v>
      </c>
      <c r="B108" s="132"/>
      <c r="C108" s="90" t="s">
        <v>557</v>
      </c>
      <c r="D108" s="72"/>
      <c r="E108" s="72">
        <v>2</v>
      </c>
      <c r="F108" s="74"/>
      <c r="G108" s="72"/>
      <c r="H108" s="97"/>
      <c r="I108" s="35"/>
      <c r="J108" s="35"/>
      <c r="K108" s="35"/>
      <c r="L108" s="35"/>
      <c r="M108" s="129"/>
    </row>
    <row r="109" spans="1:13" ht="46.2" x14ac:dyDescent="0.85">
      <c r="A109" s="92" t="s">
        <v>157</v>
      </c>
      <c r="B109" s="132"/>
      <c r="C109" s="54" t="s">
        <v>245</v>
      </c>
      <c r="D109" s="37" t="s">
        <v>246</v>
      </c>
      <c r="E109" s="37">
        <v>1</v>
      </c>
      <c r="F109" s="41">
        <v>21</v>
      </c>
      <c r="G109" s="37">
        <v>3.9</v>
      </c>
      <c r="H109" s="55">
        <f>G109/16</f>
        <v>0.24374999999999999</v>
      </c>
      <c r="I109" s="35" t="s">
        <v>468</v>
      </c>
      <c r="J109" s="35"/>
      <c r="K109" s="35"/>
      <c r="L109" s="35"/>
      <c r="M109" s="129"/>
    </row>
    <row r="110" spans="1:13" ht="46.2" x14ac:dyDescent="0.85">
      <c r="A110" s="63" t="s">
        <v>157</v>
      </c>
      <c r="B110" s="92"/>
      <c r="C110" s="54" t="s">
        <v>408</v>
      </c>
      <c r="D110" s="37" t="s">
        <v>563</v>
      </c>
      <c r="E110" s="37">
        <v>1</v>
      </c>
      <c r="F110" s="41"/>
      <c r="G110" s="37">
        <v>26</v>
      </c>
      <c r="H110" s="55">
        <f>G110/16*E110</f>
        <v>1.625</v>
      </c>
      <c r="I110" s="35"/>
      <c r="J110" s="35"/>
      <c r="K110" s="35"/>
      <c r="L110" s="35"/>
      <c r="M110" s="129"/>
    </row>
    <row r="111" spans="1:13" ht="46.2" x14ac:dyDescent="0.85">
      <c r="A111" s="92" t="s">
        <v>157</v>
      </c>
      <c r="B111" s="92"/>
      <c r="C111" s="54" t="s">
        <v>206</v>
      </c>
      <c r="D111" s="37"/>
      <c r="E111" s="37">
        <v>10</v>
      </c>
      <c r="F111" s="37"/>
      <c r="G111" s="37"/>
      <c r="H111" s="68"/>
      <c r="I111" s="35" t="s">
        <v>479</v>
      </c>
      <c r="J111" s="35"/>
      <c r="K111" s="35"/>
      <c r="L111" s="35"/>
      <c r="M111" s="129"/>
    </row>
    <row r="112" spans="1:13" ht="46.2" x14ac:dyDescent="0.85">
      <c r="A112" s="92"/>
      <c r="B112" s="92"/>
      <c r="C112" s="54" t="s">
        <v>558</v>
      </c>
      <c r="D112" s="37"/>
      <c r="E112" s="37">
        <v>1</v>
      </c>
      <c r="F112" s="41"/>
      <c r="G112" s="37"/>
      <c r="H112" s="55"/>
      <c r="I112" s="35"/>
      <c r="J112" s="35"/>
      <c r="K112" s="35"/>
      <c r="L112" s="35"/>
      <c r="M112" s="129"/>
    </row>
    <row r="113" spans="1:13" ht="46.2" x14ac:dyDescent="0.85">
      <c r="A113" s="63" t="s">
        <v>157</v>
      </c>
      <c r="B113" s="100"/>
      <c r="C113" s="100" t="s">
        <v>559</v>
      </c>
      <c r="D113" s="60"/>
      <c r="E113" s="37"/>
      <c r="F113" s="37"/>
      <c r="G113" s="37"/>
      <c r="H113" s="68"/>
      <c r="I113" s="35"/>
      <c r="J113" s="35"/>
      <c r="K113" s="35"/>
      <c r="L113" s="35"/>
      <c r="M113" s="129"/>
    </row>
    <row r="114" spans="1:13" ht="46.2" x14ac:dyDescent="0.85">
      <c r="A114" s="63"/>
      <c r="B114" s="132"/>
      <c r="C114" s="91" t="s">
        <v>187</v>
      </c>
      <c r="D114" s="73"/>
      <c r="E114" s="72"/>
      <c r="F114" s="74"/>
      <c r="G114" s="72"/>
      <c r="H114" s="93"/>
      <c r="I114" s="35"/>
      <c r="J114" s="35"/>
      <c r="K114" s="35"/>
      <c r="L114" s="35"/>
      <c r="M114" s="129"/>
    </row>
    <row r="115" spans="1:13" ht="46.2" x14ac:dyDescent="0.85">
      <c r="A115" s="63" t="s">
        <v>157</v>
      </c>
      <c r="B115" s="92"/>
      <c r="C115" s="36" t="s">
        <v>189</v>
      </c>
      <c r="D115" s="42" t="s">
        <v>272</v>
      </c>
      <c r="E115" s="37">
        <v>1</v>
      </c>
      <c r="F115" s="41">
        <v>170</v>
      </c>
      <c r="G115" s="37">
        <f>H115*16</f>
        <v>63.36</v>
      </c>
      <c r="H115" s="40">
        <v>3.96</v>
      </c>
      <c r="I115" s="35"/>
      <c r="J115" s="35"/>
      <c r="K115" s="35"/>
      <c r="L115" s="35"/>
      <c r="M115" s="129"/>
    </row>
    <row r="116" spans="1:13" ht="46.2" x14ac:dyDescent="0.85">
      <c r="A116" s="63" t="s">
        <v>157</v>
      </c>
      <c r="B116" s="92"/>
      <c r="C116" s="36" t="s">
        <v>190</v>
      </c>
      <c r="D116" s="42" t="s">
        <v>235</v>
      </c>
      <c r="E116" s="37">
        <v>1</v>
      </c>
      <c r="F116" s="41">
        <v>55</v>
      </c>
      <c r="G116" s="37"/>
      <c r="H116" s="40"/>
      <c r="I116" s="35"/>
      <c r="J116" s="35"/>
      <c r="K116" s="35"/>
      <c r="L116" s="35"/>
      <c r="M116" s="129"/>
    </row>
    <row r="117" spans="1:13" ht="46.2" x14ac:dyDescent="0.85">
      <c r="A117" s="63" t="s">
        <v>157</v>
      </c>
      <c r="B117" s="92"/>
      <c r="C117" s="36" t="s">
        <v>487</v>
      </c>
      <c r="D117" s="42" t="s">
        <v>488</v>
      </c>
      <c r="E117" s="37">
        <v>1</v>
      </c>
      <c r="F117" s="41"/>
      <c r="G117" s="37"/>
      <c r="H117" s="40"/>
      <c r="I117" s="35" t="s">
        <v>489</v>
      </c>
      <c r="J117" s="35"/>
      <c r="K117" s="35"/>
      <c r="L117" s="35"/>
      <c r="M117" s="129"/>
    </row>
    <row r="118" spans="1:13" ht="46.2" x14ac:dyDescent="0.85">
      <c r="A118" s="63" t="s">
        <v>157</v>
      </c>
      <c r="B118" s="92"/>
      <c r="C118" s="36" t="s">
        <v>191</v>
      </c>
      <c r="D118" s="42" t="s">
        <v>273</v>
      </c>
      <c r="E118" s="37">
        <v>3</v>
      </c>
      <c r="F118" s="41"/>
      <c r="G118" s="37"/>
      <c r="H118" s="40"/>
      <c r="I118" s="35"/>
      <c r="J118" s="35"/>
      <c r="K118" s="35"/>
      <c r="L118" s="35"/>
      <c r="M118" s="129"/>
    </row>
    <row r="119" spans="1:13" ht="46.2" x14ac:dyDescent="0.85">
      <c r="A119" s="63" t="s">
        <v>157</v>
      </c>
      <c r="B119" s="92"/>
      <c r="C119" s="36" t="s">
        <v>480</v>
      </c>
      <c r="D119" s="42" t="s">
        <v>481</v>
      </c>
      <c r="E119" s="37">
        <v>3</v>
      </c>
      <c r="F119" s="41"/>
      <c r="G119" s="37"/>
      <c r="H119" s="40"/>
      <c r="I119" s="35"/>
      <c r="J119" s="35"/>
      <c r="K119" s="35"/>
      <c r="L119" s="35"/>
      <c r="M119" s="129"/>
    </row>
    <row r="120" spans="1:13" ht="46.2" x14ac:dyDescent="0.85">
      <c r="A120" s="63" t="s">
        <v>157</v>
      </c>
      <c r="B120" s="92"/>
      <c r="C120" s="36" t="s">
        <v>502</v>
      </c>
      <c r="D120" s="42" t="s">
        <v>503</v>
      </c>
      <c r="E120" s="37">
        <v>1</v>
      </c>
      <c r="F120" s="41"/>
      <c r="G120" s="37"/>
      <c r="H120" s="40"/>
      <c r="I120" s="35"/>
      <c r="J120" s="35"/>
      <c r="K120" s="35"/>
      <c r="L120" s="35"/>
      <c r="M120" s="129"/>
    </row>
    <row r="121" spans="1:13" ht="46.2" x14ac:dyDescent="0.85">
      <c r="A121" s="63" t="s">
        <v>157</v>
      </c>
      <c r="B121" s="92"/>
      <c r="C121" s="36" t="s">
        <v>200</v>
      </c>
      <c r="D121" s="42" t="s">
        <v>234</v>
      </c>
      <c r="E121" s="37">
        <v>2</v>
      </c>
      <c r="F121" s="41">
        <v>35</v>
      </c>
      <c r="G121" s="37"/>
      <c r="H121" s="40"/>
      <c r="I121" s="35"/>
      <c r="J121" s="35"/>
      <c r="K121" s="35"/>
      <c r="L121" s="35"/>
      <c r="M121" s="129"/>
    </row>
    <row r="122" spans="1:13" ht="46.2" x14ac:dyDescent="0.85">
      <c r="A122" s="63" t="s">
        <v>157</v>
      </c>
      <c r="B122" s="92"/>
      <c r="C122" s="36" t="s">
        <v>188</v>
      </c>
      <c r="D122" s="42" t="s">
        <v>415</v>
      </c>
      <c r="E122" s="37">
        <v>1</v>
      </c>
      <c r="F122" s="41"/>
      <c r="G122" s="37">
        <v>8</v>
      </c>
      <c r="H122" s="40"/>
      <c r="I122" s="35"/>
      <c r="J122" s="35"/>
      <c r="K122" s="35"/>
      <c r="L122" s="35"/>
      <c r="M122" s="129"/>
    </row>
    <row r="123" spans="1:13" ht="46.2" x14ac:dyDescent="0.85">
      <c r="A123" s="63" t="s">
        <v>157</v>
      </c>
      <c r="B123" s="92"/>
      <c r="C123" s="36" t="s">
        <v>281</v>
      </c>
      <c r="D123" s="42" t="s">
        <v>499</v>
      </c>
      <c r="E123" s="37">
        <v>1</v>
      </c>
      <c r="F123" s="41"/>
      <c r="G123" s="37"/>
      <c r="H123" s="40"/>
      <c r="I123" s="35" t="s">
        <v>416</v>
      </c>
      <c r="J123" s="35"/>
      <c r="K123" s="35"/>
      <c r="L123" s="35"/>
      <c r="M123" s="129"/>
    </row>
    <row r="124" spans="1:13" ht="46.2" x14ac:dyDescent="0.85">
      <c r="A124" s="63" t="s">
        <v>157</v>
      </c>
      <c r="B124" s="92"/>
      <c r="C124" s="36" t="s">
        <v>236</v>
      </c>
      <c r="D124" s="42" t="s">
        <v>247</v>
      </c>
      <c r="E124" s="37">
        <v>1</v>
      </c>
      <c r="F124" s="41">
        <v>89</v>
      </c>
      <c r="G124" s="37">
        <v>6.7</v>
      </c>
      <c r="H124" s="40"/>
      <c r="I124" s="35"/>
      <c r="J124" s="35"/>
      <c r="K124" s="35"/>
      <c r="L124" s="35"/>
      <c r="M124" s="129"/>
    </row>
    <row r="125" spans="1:13" ht="46.2" x14ac:dyDescent="0.85">
      <c r="A125" s="63" t="s">
        <v>157</v>
      </c>
      <c r="B125" s="92"/>
      <c r="C125" s="36" t="s">
        <v>241</v>
      </c>
      <c r="D125" s="37" t="s">
        <v>280</v>
      </c>
      <c r="E125" s="37">
        <v>1</v>
      </c>
      <c r="F125" s="41">
        <v>140</v>
      </c>
      <c r="G125" s="37">
        <v>19.5</v>
      </c>
      <c r="H125" s="40"/>
      <c r="I125" s="35" t="s">
        <v>504</v>
      </c>
      <c r="J125" s="35"/>
      <c r="K125" s="35"/>
      <c r="L125" s="35"/>
      <c r="M125" s="129"/>
    </row>
    <row r="126" spans="1:13" ht="46.2" x14ac:dyDescent="0.85">
      <c r="A126" s="63" t="s">
        <v>157</v>
      </c>
      <c r="B126" s="92"/>
      <c r="C126" s="36" t="s">
        <v>192</v>
      </c>
      <c r="D126" s="42" t="s">
        <v>248</v>
      </c>
      <c r="E126" s="43">
        <v>1</v>
      </c>
      <c r="F126" s="44">
        <v>66.75</v>
      </c>
      <c r="G126" s="43">
        <v>9.3000000000000007</v>
      </c>
      <c r="H126" s="40"/>
      <c r="I126" s="35"/>
      <c r="J126" s="35"/>
      <c r="K126" s="35"/>
      <c r="L126" s="35"/>
      <c r="M126" s="129"/>
    </row>
    <row r="127" spans="1:13" ht="46.2" x14ac:dyDescent="0.85">
      <c r="A127" s="63"/>
      <c r="B127" s="92"/>
      <c r="C127" s="36" t="s">
        <v>203</v>
      </c>
      <c r="D127" s="37" t="s">
        <v>237</v>
      </c>
      <c r="E127" s="37">
        <v>1</v>
      </c>
      <c r="F127" s="41">
        <v>269</v>
      </c>
      <c r="G127" s="37">
        <v>22.3</v>
      </c>
      <c r="H127" s="40"/>
      <c r="I127" s="35"/>
      <c r="J127" s="35"/>
      <c r="K127" s="35"/>
      <c r="L127" s="35"/>
      <c r="M127" s="129"/>
    </row>
    <row r="128" spans="1:13" ht="46.2" x14ac:dyDescent="0.85">
      <c r="A128" s="63" t="s">
        <v>157</v>
      </c>
      <c r="B128" s="92"/>
      <c r="C128" s="36" t="s">
        <v>193</v>
      </c>
      <c r="D128" s="42" t="s">
        <v>482</v>
      </c>
      <c r="E128" s="37">
        <v>1</v>
      </c>
      <c r="F128" s="41">
        <v>0</v>
      </c>
      <c r="G128" s="37">
        <v>10.8</v>
      </c>
      <c r="H128" s="40"/>
      <c r="I128" s="35"/>
      <c r="J128" s="35"/>
      <c r="K128" s="35"/>
      <c r="L128" s="35"/>
      <c r="M128" s="129"/>
    </row>
    <row r="129" spans="1:13" ht="46.2" x14ac:dyDescent="0.85">
      <c r="A129" s="63" t="s">
        <v>157</v>
      </c>
      <c r="B129" s="92"/>
      <c r="C129" s="36" t="s">
        <v>233</v>
      </c>
      <c r="D129" s="42" t="s">
        <v>232</v>
      </c>
      <c r="E129" s="37">
        <v>1</v>
      </c>
      <c r="F129" s="41">
        <v>175</v>
      </c>
      <c r="G129" s="37">
        <v>18</v>
      </c>
      <c r="H129" s="40"/>
      <c r="I129" s="35"/>
      <c r="J129" s="35"/>
      <c r="K129" s="35"/>
      <c r="L129" s="35"/>
      <c r="M129" s="129"/>
    </row>
    <row r="130" spans="1:13" ht="46.2" x14ac:dyDescent="0.85">
      <c r="A130" s="63" t="s">
        <v>157</v>
      </c>
      <c r="B130" s="92"/>
      <c r="C130" s="36" t="s">
        <v>194</v>
      </c>
      <c r="D130" s="37" t="s">
        <v>149</v>
      </c>
      <c r="E130" s="37">
        <v>1</v>
      </c>
      <c r="F130" s="41">
        <v>120</v>
      </c>
      <c r="G130" s="37">
        <v>18</v>
      </c>
      <c r="H130" s="37"/>
      <c r="I130" s="35"/>
      <c r="J130" s="35"/>
      <c r="K130" s="35"/>
      <c r="L130" s="35"/>
      <c r="M130" s="129"/>
    </row>
    <row r="131" spans="1:13" ht="46.2" x14ac:dyDescent="0.85">
      <c r="A131" s="63" t="s">
        <v>157</v>
      </c>
      <c r="B131" s="92"/>
      <c r="C131" s="36" t="s">
        <v>195</v>
      </c>
      <c r="D131" s="37" t="s">
        <v>152</v>
      </c>
      <c r="E131" s="37">
        <v>1</v>
      </c>
      <c r="F131" s="41">
        <v>215</v>
      </c>
      <c r="G131" s="37">
        <v>17</v>
      </c>
      <c r="H131" s="37"/>
      <c r="I131" s="35"/>
      <c r="J131" s="35"/>
      <c r="K131" s="35"/>
      <c r="L131" s="35"/>
      <c r="M131" s="129"/>
    </row>
    <row r="132" spans="1:13" ht="46.2" x14ac:dyDescent="0.85">
      <c r="A132" s="63" t="s">
        <v>157</v>
      </c>
      <c r="B132" s="92"/>
      <c r="C132" s="36" t="s">
        <v>483</v>
      </c>
      <c r="D132" s="42" t="s">
        <v>238</v>
      </c>
      <c r="E132" s="37">
        <v>1</v>
      </c>
      <c r="F132" s="41">
        <v>59</v>
      </c>
      <c r="G132" s="37">
        <v>2.9</v>
      </c>
      <c r="H132" s="40"/>
      <c r="I132" s="35"/>
      <c r="J132" s="35"/>
      <c r="K132" s="35"/>
      <c r="L132" s="35"/>
      <c r="M132" s="129"/>
    </row>
    <row r="133" spans="1:13" ht="46.2" x14ac:dyDescent="0.85">
      <c r="A133" s="63" t="s">
        <v>157</v>
      </c>
      <c r="B133" s="92"/>
      <c r="C133" s="36" t="s">
        <v>212</v>
      </c>
      <c r="D133" s="42" t="s">
        <v>239</v>
      </c>
      <c r="E133" s="37">
        <v>1</v>
      </c>
      <c r="F133" s="41">
        <v>90</v>
      </c>
      <c r="G133" s="37">
        <v>7.2</v>
      </c>
      <c r="H133" s="40"/>
      <c r="I133" s="35"/>
      <c r="J133" s="35"/>
      <c r="K133" s="35"/>
      <c r="L133" s="35"/>
      <c r="M133" s="129"/>
    </row>
    <row r="134" spans="1:13" ht="46.2" x14ac:dyDescent="0.85">
      <c r="A134" s="63" t="s">
        <v>157</v>
      </c>
      <c r="B134" s="92"/>
      <c r="C134" s="36" t="s">
        <v>282</v>
      </c>
      <c r="D134" s="42" t="s">
        <v>283</v>
      </c>
      <c r="E134" s="37"/>
      <c r="F134" s="41"/>
      <c r="G134" s="37"/>
      <c r="H134" s="40"/>
      <c r="I134" s="35"/>
      <c r="J134" s="35"/>
      <c r="K134" s="35"/>
      <c r="L134" s="35"/>
      <c r="M134" s="129"/>
    </row>
    <row r="135" spans="1:13" ht="46.2" x14ac:dyDescent="0.85">
      <c r="A135" s="63" t="s">
        <v>157</v>
      </c>
      <c r="B135" s="92"/>
      <c r="C135" s="36" t="s">
        <v>196</v>
      </c>
      <c r="D135" s="42" t="s">
        <v>252</v>
      </c>
      <c r="E135" s="37">
        <v>1</v>
      </c>
      <c r="F135" s="41">
        <v>79</v>
      </c>
      <c r="G135" s="37">
        <v>3.5</v>
      </c>
      <c r="H135" s="40"/>
      <c r="I135" s="35"/>
      <c r="J135" s="35"/>
      <c r="K135" s="35"/>
      <c r="L135" s="35"/>
      <c r="M135" s="129"/>
    </row>
    <row r="136" spans="1:13" ht="46.2" x14ac:dyDescent="0.85">
      <c r="A136" s="63" t="s">
        <v>157</v>
      </c>
      <c r="B136" s="100"/>
      <c r="C136" s="66" t="s">
        <v>199</v>
      </c>
      <c r="D136" s="67"/>
      <c r="E136" s="46">
        <v>1</v>
      </c>
      <c r="F136" s="47">
        <v>22.5</v>
      </c>
      <c r="G136" s="46">
        <v>6</v>
      </c>
      <c r="H136" s="48"/>
      <c r="I136" s="35"/>
      <c r="J136" s="35"/>
      <c r="K136" s="35"/>
      <c r="L136" s="35"/>
      <c r="M136" s="129"/>
    </row>
    <row r="137" spans="1:13" ht="46.2" x14ac:dyDescent="0.85">
      <c r="A137" s="63"/>
      <c r="B137" s="133" t="s">
        <v>157</v>
      </c>
      <c r="C137" s="82" t="s">
        <v>376</v>
      </c>
      <c r="D137" s="83"/>
      <c r="E137" s="84">
        <v>2</v>
      </c>
      <c r="F137" s="85"/>
      <c r="G137" s="84"/>
      <c r="H137" s="86"/>
      <c r="I137" s="35" t="s">
        <v>484</v>
      </c>
      <c r="J137" s="35"/>
      <c r="K137" s="35"/>
      <c r="L137" s="35"/>
      <c r="M137" s="129"/>
    </row>
    <row r="138" spans="1:13" ht="46.2" x14ac:dyDescent="0.85">
      <c r="A138" s="63"/>
      <c r="B138" s="132"/>
      <c r="C138" s="49" t="s">
        <v>185</v>
      </c>
      <c r="D138" s="50"/>
      <c r="E138" s="51"/>
      <c r="F138" s="52"/>
      <c r="G138" s="51"/>
      <c r="H138" s="65"/>
      <c r="I138" s="35"/>
      <c r="J138" s="35"/>
      <c r="K138" s="35"/>
      <c r="L138" s="35"/>
      <c r="M138" s="129"/>
    </row>
    <row r="139" spans="1:13" ht="46.2" x14ac:dyDescent="0.85">
      <c r="A139" s="63" t="s">
        <v>157</v>
      </c>
      <c r="B139" s="92"/>
      <c r="C139" s="54" t="s">
        <v>162</v>
      </c>
      <c r="D139" s="37" t="s">
        <v>278</v>
      </c>
      <c r="E139" s="37"/>
      <c r="F139" s="41">
        <v>80</v>
      </c>
      <c r="G139" s="37">
        <v>10</v>
      </c>
      <c r="H139" s="55">
        <f>G139/16</f>
        <v>0.625</v>
      </c>
      <c r="I139" s="35" t="s">
        <v>410</v>
      </c>
      <c r="J139" s="35"/>
      <c r="K139" s="35"/>
      <c r="L139" s="35"/>
      <c r="M139" s="129"/>
    </row>
    <row r="140" spans="1:13" ht="46.2" x14ac:dyDescent="0.85">
      <c r="A140" s="63" t="s">
        <v>157</v>
      </c>
      <c r="B140" s="92"/>
      <c r="C140" s="54" t="s">
        <v>138</v>
      </c>
      <c r="D140" s="37"/>
      <c r="E140" s="37"/>
      <c r="F140" s="37"/>
      <c r="G140" s="37"/>
      <c r="H140" s="37"/>
      <c r="I140" s="35"/>
      <c r="J140" s="35"/>
      <c r="K140" s="35"/>
      <c r="L140" s="35"/>
      <c r="M140" s="129"/>
    </row>
    <row r="141" spans="1:13" ht="46.2" x14ac:dyDescent="0.85">
      <c r="A141" s="63" t="s">
        <v>157</v>
      </c>
      <c r="B141" s="92"/>
      <c r="C141" s="54" t="s">
        <v>137</v>
      </c>
      <c r="D141" s="37"/>
      <c r="E141" s="37"/>
      <c r="F141" s="37"/>
      <c r="G141" s="37"/>
      <c r="H141" s="37"/>
      <c r="I141" s="35"/>
      <c r="J141" s="35"/>
      <c r="K141" s="35"/>
      <c r="L141" s="35"/>
      <c r="M141" s="129"/>
    </row>
    <row r="142" spans="1:13" ht="46.2" x14ac:dyDescent="0.85">
      <c r="A142" s="63"/>
      <c r="B142" s="92"/>
      <c r="C142" s="70" t="s">
        <v>284</v>
      </c>
      <c r="D142" s="37"/>
      <c r="E142" s="37">
        <v>2</v>
      </c>
      <c r="F142" s="37"/>
      <c r="G142" s="37"/>
      <c r="H142" s="37"/>
      <c r="I142" s="35" t="s">
        <v>485</v>
      </c>
      <c r="J142" s="35"/>
      <c r="K142" s="35"/>
      <c r="L142" s="35"/>
      <c r="M142" s="129"/>
    </row>
    <row r="143" spans="1:13" ht="46.2" x14ac:dyDescent="0.85">
      <c r="A143" s="63"/>
      <c r="B143" s="92"/>
      <c r="C143" s="54" t="s">
        <v>213</v>
      </c>
      <c r="D143" s="37"/>
      <c r="E143" s="37"/>
      <c r="F143" s="41"/>
      <c r="G143" s="37"/>
      <c r="H143" s="40"/>
      <c r="I143" s="35"/>
      <c r="J143" s="35"/>
      <c r="K143" s="35"/>
      <c r="L143" s="35"/>
      <c r="M143" s="129"/>
    </row>
    <row r="144" spans="1:13" ht="46.2" x14ac:dyDescent="0.85">
      <c r="A144" s="63"/>
      <c r="B144" s="92"/>
      <c r="C144" s="54" t="s">
        <v>214</v>
      </c>
      <c r="D144" s="37"/>
      <c r="E144" s="37"/>
      <c r="F144" s="41"/>
      <c r="G144" s="37"/>
      <c r="H144" s="40"/>
      <c r="I144" s="35"/>
      <c r="J144" s="35"/>
      <c r="K144" s="35"/>
      <c r="L144" s="35"/>
      <c r="M144" s="129"/>
    </row>
    <row r="145" spans="1:13" ht="46.2" x14ac:dyDescent="0.85">
      <c r="A145" s="63"/>
      <c r="B145" s="92"/>
      <c r="C145" s="54" t="s">
        <v>215</v>
      </c>
      <c r="D145" s="37"/>
      <c r="E145" s="37">
        <v>4</v>
      </c>
      <c r="F145" s="41"/>
      <c r="G145" s="37"/>
      <c r="H145" s="40"/>
      <c r="I145" s="35"/>
      <c r="J145" s="35"/>
      <c r="K145" s="35"/>
      <c r="L145" s="35"/>
      <c r="M145" s="129"/>
    </row>
    <row r="146" spans="1:13" ht="46.2" x14ac:dyDescent="0.85">
      <c r="A146" s="63"/>
      <c r="B146" s="92"/>
      <c r="C146" s="49" t="s">
        <v>567</v>
      </c>
      <c r="D146" s="37"/>
      <c r="E146" s="37"/>
      <c r="F146" s="41"/>
      <c r="G146" s="37"/>
      <c r="H146" s="55"/>
      <c r="I146" s="35"/>
      <c r="J146" s="35"/>
      <c r="K146" s="35"/>
      <c r="L146" s="35"/>
      <c r="M146" s="129"/>
    </row>
    <row r="147" spans="1:13" ht="46.2" x14ac:dyDescent="0.85">
      <c r="A147" s="63"/>
      <c r="B147" s="92"/>
      <c r="C147" s="54" t="s">
        <v>568</v>
      </c>
      <c r="D147" s="37" t="s">
        <v>569</v>
      </c>
      <c r="E147" s="37">
        <v>1</v>
      </c>
      <c r="F147" s="37"/>
      <c r="G147" s="37"/>
      <c r="H147" s="37"/>
      <c r="I147" s="35"/>
      <c r="J147" s="35"/>
      <c r="K147" s="35"/>
      <c r="L147" s="35"/>
      <c r="M147" s="129"/>
    </row>
    <row r="148" spans="1:13" ht="46.2" x14ac:dyDescent="0.85">
      <c r="A148" s="63"/>
      <c r="B148" s="92"/>
      <c r="C148" s="54" t="s">
        <v>570</v>
      </c>
      <c r="D148" s="37"/>
      <c r="E148" s="37"/>
      <c r="F148" s="37"/>
      <c r="G148" s="37"/>
      <c r="H148" s="37"/>
      <c r="I148" s="35"/>
      <c r="J148" s="35"/>
      <c r="K148" s="35"/>
      <c r="L148" s="35"/>
      <c r="M148" s="129"/>
    </row>
    <row r="149" spans="1:13" ht="46.2" x14ac:dyDescent="0.85">
      <c r="A149" s="63"/>
      <c r="B149" s="92"/>
      <c r="C149" s="70" t="s">
        <v>571</v>
      </c>
      <c r="D149" s="37"/>
      <c r="E149" s="37"/>
      <c r="F149" s="37"/>
      <c r="G149" s="37"/>
      <c r="H149" s="37"/>
      <c r="I149" s="35"/>
      <c r="J149" s="35"/>
      <c r="K149" s="35"/>
      <c r="L149" s="35"/>
      <c r="M149" s="129"/>
    </row>
    <row r="150" spans="1:13" ht="46.2" x14ac:dyDescent="0.85">
      <c r="A150" s="63"/>
      <c r="B150" s="92"/>
      <c r="C150" s="54" t="s">
        <v>572</v>
      </c>
      <c r="D150" s="37"/>
      <c r="E150" s="37"/>
      <c r="F150" s="37"/>
      <c r="G150" s="37"/>
      <c r="H150" s="37"/>
      <c r="I150" s="35"/>
      <c r="J150" s="35"/>
      <c r="K150" s="35"/>
      <c r="L150" s="35"/>
      <c r="M150" s="129"/>
    </row>
    <row r="151" spans="1:13" ht="46.2" x14ac:dyDescent="0.85">
      <c r="A151" s="63"/>
      <c r="B151" s="92"/>
      <c r="C151" s="54" t="s">
        <v>573</v>
      </c>
      <c r="D151" s="37"/>
      <c r="E151" s="37"/>
      <c r="F151" s="37"/>
      <c r="G151" s="37"/>
      <c r="H151" s="37"/>
      <c r="I151" s="35"/>
      <c r="J151" s="35"/>
      <c r="K151" s="35"/>
      <c r="L151" s="35"/>
      <c r="M151" s="129"/>
    </row>
    <row r="152" spans="1:13" ht="46.2" x14ac:dyDescent="0.85">
      <c r="A152" s="63"/>
      <c r="B152" s="92"/>
      <c r="C152" s="54" t="s">
        <v>574</v>
      </c>
      <c r="D152" s="37"/>
      <c r="E152" s="37"/>
      <c r="F152" s="37"/>
      <c r="G152" s="37"/>
      <c r="H152" s="37"/>
      <c r="I152" s="35"/>
      <c r="J152" s="35"/>
      <c r="K152" s="35"/>
      <c r="L152" s="35"/>
      <c r="M152" s="129"/>
    </row>
    <row r="153" spans="1:13" ht="46.2" x14ac:dyDescent="0.85">
      <c r="A153" s="63"/>
      <c r="B153" s="92"/>
      <c r="C153" s="70" t="s">
        <v>575</v>
      </c>
      <c r="D153" s="37"/>
      <c r="E153" s="37"/>
      <c r="F153" s="37"/>
      <c r="G153" s="37"/>
      <c r="H153" s="37"/>
      <c r="I153" s="35"/>
      <c r="J153" s="35"/>
      <c r="K153" s="35"/>
      <c r="L153" s="35"/>
      <c r="M153" s="129"/>
    </row>
    <row r="154" spans="1:13" ht="46.2" x14ac:dyDescent="0.85">
      <c r="A154" s="63"/>
      <c r="B154" s="92"/>
      <c r="C154" s="54" t="s">
        <v>576</v>
      </c>
      <c r="D154" s="37"/>
      <c r="E154" s="37"/>
      <c r="F154" s="41"/>
      <c r="G154" s="37"/>
      <c r="H154" s="40"/>
      <c r="I154" s="35"/>
      <c r="J154" s="35"/>
      <c r="K154" s="35"/>
      <c r="L154" s="35"/>
      <c r="M154" s="129"/>
    </row>
    <row r="155" spans="1:13" ht="46.2" x14ac:dyDescent="0.85">
      <c r="A155" s="63"/>
      <c r="B155" s="92"/>
      <c r="C155" s="54"/>
      <c r="D155" s="37"/>
      <c r="E155" s="37"/>
      <c r="F155" s="41"/>
      <c r="G155" s="37"/>
      <c r="H155" s="40"/>
      <c r="I155" s="35"/>
      <c r="J155" s="35"/>
      <c r="K155" s="35"/>
      <c r="L155" s="35"/>
      <c r="M155" s="129"/>
    </row>
    <row r="156" spans="1:13" ht="46.2" x14ac:dyDescent="0.85">
      <c r="A156" s="63"/>
      <c r="B156" s="92"/>
      <c r="C156" s="54"/>
      <c r="D156" s="37"/>
      <c r="E156" s="37"/>
      <c r="F156" s="41"/>
      <c r="G156" s="37"/>
      <c r="H156" s="40"/>
      <c r="I156" s="35"/>
      <c r="J156" s="35"/>
      <c r="K156" s="35"/>
      <c r="L156" s="35"/>
      <c r="M156" s="129"/>
    </row>
    <row r="157" spans="1:13" ht="46.2" x14ac:dyDescent="0.85">
      <c r="A157" s="63"/>
      <c r="B157" s="134"/>
      <c r="C157" s="61" t="s">
        <v>186</v>
      </c>
      <c r="D157" s="50"/>
      <c r="E157" s="51"/>
      <c r="F157" s="52"/>
      <c r="G157" s="51"/>
      <c r="H157" s="53"/>
      <c r="I157" s="35"/>
      <c r="J157" s="35"/>
      <c r="K157" s="35"/>
      <c r="L157" s="35"/>
      <c r="M157" s="129"/>
    </row>
    <row r="158" spans="1:13" ht="46.2" x14ac:dyDescent="0.85">
      <c r="A158" s="63"/>
      <c r="B158" s="135"/>
      <c r="C158" s="60" t="s">
        <v>243</v>
      </c>
      <c r="D158" s="37" t="s">
        <v>242</v>
      </c>
      <c r="E158" s="37"/>
      <c r="F158" s="41"/>
      <c r="G158" s="37"/>
      <c r="H158" s="55"/>
      <c r="I158" s="35"/>
      <c r="J158" s="35"/>
      <c r="K158" s="35"/>
      <c r="L158" s="35"/>
      <c r="M158" s="129"/>
    </row>
    <row r="159" spans="1:13" ht="46.2" x14ac:dyDescent="0.85">
      <c r="A159" s="63"/>
      <c r="B159" s="135"/>
      <c r="C159" s="60" t="s">
        <v>74</v>
      </c>
      <c r="D159" s="37"/>
      <c r="E159" s="37"/>
      <c r="F159" s="41">
        <v>229</v>
      </c>
      <c r="G159" s="37">
        <v>122</v>
      </c>
      <c r="H159" s="55">
        <f>G159/16</f>
        <v>7.625</v>
      </c>
      <c r="I159" s="35"/>
      <c r="J159" s="35"/>
      <c r="K159" s="35"/>
      <c r="L159" s="35"/>
      <c r="M159" s="129"/>
    </row>
    <row r="160" spans="1:13" ht="46.2" x14ac:dyDescent="0.85">
      <c r="A160" s="63"/>
      <c r="B160" s="135"/>
      <c r="C160" s="60" t="s">
        <v>73</v>
      </c>
      <c r="D160" s="37"/>
      <c r="E160" s="37"/>
      <c r="F160" s="41">
        <v>39.950000000000003</v>
      </c>
      <c r="G160" s="37">
        <v>16.600000000000001</v>
      </c>
      <c r="H160" s="55">
        <f>G160/16</f>
        <v>1.0375000000000001</v>
      </c>
      <c r="I160" s="35"/>
      <c r="J160" s="35"/>
      <c r="K160" s="35"/>
      <c r="L160" s="35"/>
      <c r="M160" s="129"/>
    </row>
    <row r="161" spans="1:19" ht="46.2" x14ac:dyDescent="0.85">
      <c r="A161" s="63"/>
      <c r="B161" s="135"/>
      <c r="C161" s="60" t="s">
        <v>78</v>
      </c>
      <c r="D161" s="37"/>
      <c r="E161" s="37"/>
      <c r="F161" s="41"/>
      <c r="G161" s="37"/>
      <c r="H161" s="55">
        <f>G161/16</f>
        <v>0</v>
      </c>
      <c r="I161" s="35"/>
      <c r="J161" s="35"/>
      <c r="K161" s="35"/>
      <c r="L161" s="35"/>
      <c r="M161" s="129"/>
    </row>
    <row r="162" spans="1:19" ht="46.2" x14ac:dyDescent="0.85">
      <c r="A162" s="63"/>
      <c r="B162" s="135"/>
      <c r="C162" s="60" t="s">
        <v>133</v>
      </c>
      <c r="D162" s="37"/>
      <c r="E162" s="37"/>
      <c r="F162" s="41"/>
      <c r="G162" s="37"/>
      <c r="H162" s="55"/>
      <c r="I162" s="35"/>
      <c r="J162" s="35"/>
      <c r="K162" s="35"/>
      <c r="L162" s="35"/>
      <c r="M162" s="129"/>
    </row>
    <row r="163" spans="1:19" ht="231" x14ac:dyDescent="0.85">
      <c r="A163" s="63"/>
      <c r="B163" s="135"/>
      <c r="C163" s="62" t="s">
        <v>158</v>
      </c>
      <c r="D163" s="45"/>
      <c r="E163" s="45"/>
      <c r="F163" s="41"/>
      <c r="G163" s="37"/>
      <c r="H163" s="55"/>
      <c r="I163" s="35"/>
      <c r="J163" s="35"/>
      <c r="K163" s="35"/>
      <c r="L163" s="35"/>
      <c r="M163" s="129"/>
    </row>
    <row r="164" spans="1:19" ht="184.8" x14ac:dyDescent="0.85">
      <c r="A164" s="63"/>
      <c r="B164" s="135"/>
      <c r="C164" s="62" t="s">
        <v>129</v>
      </c>
      <c r="D164" s="45"/>
      <c r="E164" s="45"/>
      <c r="F164" s="41"/>
      <c r="G164" s="37"/>
      <c r="H164" s="55"/>
      <c r="I164" s="35"/>
      <c r="J164" s="35"/>
      <c r="K164" s="35"/>
      <c r="L164" s="35"/>
      <c r="M164" s="129"/>
    </row>
    <row r="165" spans="1:19" ht="46.2" x14ac:dyDescent="0.85">
      <c r="A165" s="63"/>
      <c r="B165" s="135"/>
      <c r="C165" s="60" t="s">
        <v>136</v>
      </c>
      <c r="D165" s="37"/>
      <c r="E165" s="37"/>
      <c r="F165" s="41"/>
      <c r="G165" s="37"/>
      <c r="H165" s="55"/>
      <c r="I165" s="35"/>
      <c r="J165" s="35"/>
      <c r="K165" s="35"/>
      <c r="L165" s="35"/>
      <c r="M165" s="129"/>
    </row>
    <row r="166" spans="1:19" ht="46.2" x14ac:dyDescent="0.85">
      <c r="A166" s="63"/>
      <c r="B166" s="135"/>
      <c r="C166" s="60" t="s">
        <v>259</v>
      </c>
      <c r="D166" s="37"/>
      <c r="E166" s="37"/>
      <c r="F166" s="41"/>
      <c r="G166" s="37"/>
      <c r="H166" s="55"/>
      <c r="I166" s="35"/>
      <c r="J166" s="35"/>
      <c r="K166" s="35"/>
      <c r="L166" s="35"/>
      <c r="M166" s="129"/>
    </row>
    <row r="167" spans="1:19" ht="46.2" x14ac:dyDescent="0.85">
      <c r="A167" s="63"/>
      <c r="B167" s="135"/>
      <c r="C167" s="60" t="s">
        <v>260</v>
      </c>
      <c r="D167" s="37"/>
      <c r="E167" s="37"/>
      <c r="F167" s="41"/>
      <c r="G167" s="37"/>
      <c r="H167" s="55"/>
      <c r="I167" s="35"/>
      <c r="J167" s="35"/>
      <c r="K167" s="35"/>
      <c r="L167" s="35"/>
      <c r="M167" s="129"/>
    </row>
    <row r="168" spans="1:19" ht="46.2" x14ac:dyDescent="0.85">
      <c r="A168" s="63"/>
      <c r="B168" s="135"/>
      <c r="C168" s="60" t="s">
        <v>117</v>
      </c>
      <c r="D168" s="37"/>
      <c r="E168" s="37"/>
      <c r="F168" s="41">
        <v>89.95</v>
      </c>
      <c r="G168" s="37">
        <v>12.4</v>
      </c>
      <c r="H168" s="55">
        <f>G168/16</f>
        <v>0.77500000000000002</v>
      </c>
      <c r="I168" s="35"/>
      <c r="J168" s="35"/>
      <c r="K168" s="35"/>
      <c r="L168" s="35"/>
      <c r="M168" s="129"/>
    </row>
    <row r="169" spans="1:19" ht="138.6" x14ac:dyDescent="0.85">
      <c r="A169" s="63"/>
      <c r="B169" s="135"/>
      <c r="C169" s="62" t="s">
        <v>154</v>
      </c>
      <c r="D169" s="37"/>
      <c r="E169" s="37"/>
      <c r="F169" s="37"/>
      <c r="G169" s="37"/>
      <c r="H169" s="55"/>
      <c r="I169" s="35"/>
      <c r="J169" s="35"/>
      <c r="K169" s="35"/>
      <c r="L169" s="35"/>
      <c r="M169" s="129"/>
    </row>
    <row r="170" spans="1:19" ht="46.2" x14ac:dyDescent="0.85">
      <c r="A170" s="63"/>
      <c r="B170" s="135"/>
      <c r="C170" s="60" t="s">
        <v>86</v>
      </c>
      <c r="D170" s="37"/>
      <c r="E170" s="37"/>
      <c r="F170" s="41">
        <v>800</v>
      </c>
      <c r="G170" s="37">
        <v>45</v>
      </c>
      <c r="H170" s="55">
        <f>G170/16</f>
        <v>2.8125</v>
      </c>
      <c r="I170" s="35"/>
      <c r="J170" s="35"/>
      <c r="K170" s="35"/>
      <c r="L170" s="35"/>
      <c r="M170" s="129"/>
    </row>
    <row r="171" spans="1:19" ht="46.2" x14ac:dyDescent="0.85">
      <c r="A171" s="63"/>
      <c r="B171" s="135"/>
      <c r="C171" s="60" t="s">
        <v>87</v>
      </c>
      <c r="D171" s="37"/>
      <c r="E171" s="37"/>
      <c r="F171" s="41">
        <v>150</v>
      </c>
      <c r="G171" s="37">
        <v>16</v>
      </c>
      <c r="H171" s="55">
        <f>G171/16</f>
        <v>1</v>
      </c>
      <c r="I171" s="35"/>
      <c r="J171" s="35"/>
      <c r="K171" s="35"/>
      <c r="L171" s="35"/>
      <c r="M171" s="129"/>
    </row>
    <row r="172" spans="1:19" ht="46.2" x14ac:dyDescent="0.85">
      <c r="A172" s="63"/>
      <c r="B172" s="135"/>
      <c r="C172" s="60" t="s">
        <v>88</v>
      </c>
      <c r="D172" s="37"/>
      <c r="E172" s="37"/>
      <c r="F172" s="41"/>
      <c r="G172" s="37">
        <v>6</v>
      </c>
      <c r="H172" s="55">
        <f>G172/16</f>
        <v>0.375</v>
      </c>
      <c r="I172" s="35"/>
      <c r="J172" s="35"/>
      <c r="K172" s="35"/>
      <c r="L172" s="35"/>
      <c r="M172" s="129"/>
    </row>
    <row r="173" spans="1:19" ht="46.2" x14ac:dyDescent="0.85">
      <c r="A173" s="64"/>
      <c r="B173" s="136"/>
      <c r="C173" s="111" t="s">
        <v>70</v>
      </c>
      <c r="D173" s="46"/>
      <c r="E173" s="46"/>
      <c r="F173" s="47">
        <f>SUM(F14:F172)</f>
        <v>4614</v>
      </c>
      <c r="G173" s="46">
        <f>SUM(G14:G171)</f>
        <v>960.0899999999998</v>
      </c>
      <c r="H173" s="96" t="e">
        <f>SUM(H14:H171)</f>
        <v>#VALUE!</v>
      </c>
      <c r="I173" s="35"/>
      <c r="J173" s="35"/>
      <c r="K173" s="35"/>
      <c r="L173" s="35"/>
      <c r="M173" s="129"/>
    </row>
    <row r="174" spans="1:19" ht="409.6" x14ac:dyDescent="0.85">
      <c r="A174" s="106"/>
      <c r="B174" s="137"/>
      <c r="C174" s="113" t="s">
        <v>102</v>
      </c>
      <c r="D174" s="101"/>
      <c r="E174" s="102" t="s">
        <v>509</v>
      </c>
      <c r="F174" s="103"/>
      <c r="G174" s="102" t="s">
        <v>508</v>
      </c>
      <c r="H174" s="103" t="s">
        <v>513</v>
      </c>
      <c r="I174" s="103" t="s">
        <v>522</v>
      </c>
      <c r="J174" s="102" t="s">
        <v>510</v>
      </c>
      <c r="K174" s="103" t="s">
        <v>511</v>
      </c>
      <c r="L174" s="102" t="s">
        <v>512</v>
      </c>
      <c r="M174" s="114" t="s">
        <v>201</v>
      </c>
      <c r="N174" s="120" t="s">
        <v>514</v>
      </c>
      <c r="O174" s="102" t="s">
        <v>515</v>
      </c>
      <c r="P174" s="102" t="s">
        <v>516</v>
      </c>
      <c r="Q174" s="115" t="s">
        <v>517</v>
      </c>
      <c r="R174" s="115" t="s">
        <v>526</v>
      </c>
      <c r="S174" s="115" t="s">
        <v>527</v>
      </c>
    </row>
    <row r="175" spans="1:19" ht="46.2" x14ac:dyDescent="0.85">
      <c r="A175" s="107"/>
      <c r="B175" s="135" t="s">
        <v>157</v>
      </c>
      <c r="C175" s="54" t="s">
        <v>506</v>
      </c>
      <c r="D175" s="37" t="s">
        <v>507</v>
      </c>
      <c r="E175" s="104">
        <v>2</v>
      </c>
      <c r="F175" s="105"/>
      <c r="G175" s="104">
        <v>490</v>
      </c>
      <c r="H175" s="112">
        <f>6.35/2</f>
        <v>3.1749999999999998</v>
      </c>
      <c r="I175" s="121">
        <f t="shared" ref="I175:I183" si="1">G175/H175</f>
        <v>154.33070866141733</v>
      </c>
      <c r="J175" s="104">
        <v>29</v>
      </c>
      <c r="K175" s="112">
        <v>29</v>
      </c>
      <c r="L175" s="104">
        <v>25</v>
      </c>
      <c r="M175" s="104">
        <v>6</v>
      </c>
      <c r="N175" s="122">
        <f t="shared" ref="N175:N181" si="2">M175*(E175*G175)</f>
        <v>5880</v>
      </c>
      <c r="O175" s="122">
        <f t="shared" ref="O175:Q180" si="3">J175*$E175*$M175</f>
        <v>348</v>
      </c>
      <c r="P175" s="122">
        <f t="shared" si="3"/>
        <v>348</v>
      </c>
      <c r="Q175" s="128">
        <f t="shared" si="3"/>
        <v>300</v>
      </c>
      <c r="R175" s="128">
        <f t="shared" ref="R175:R180" si="4">M175*E175*H175</f>
        <v>38.099999999999994</v>
      </c>
      <c r="S175" s="127">
        <f t="shared" ref="S175:S180" si="5">R175/16</f>
        <v>2.3812499999999996</v>
      </c>
    </row>
    <row r="176" spans="1:19" ht="46.2" x14ac:dyDescent="0.85">
      <c r="A176" s="107"/>
      <c r="B176" s="135" t="s">
        <v>157</v>
      </c>
      <c r="C176" s="54" t="s">
        <v>519</v>
      </c>
      <c r="D176" s="37" t="s">
        <v>577</v>
      </c>
      <c r="E176" s="104">
        <v>2</v>
      </c>
      <c r="F176" s="105"/>
      <c r="G176" s="104">
        <v>370</v>
      </c>
      <c r="H176" s="112">
        <f>6.06/2</f>
        <v>3.03</v>
      </c>
      <c r="I176" s="121">
        <f t="shared" si="1"/>
        <v>122.11221122112212</v>
      </c>
      <c r="J176" s="104">
        <v>6</v>
      </c>
      <c r="K176" s="112">
        <v>59</v>
      </c>
      <c r="L176" s="104">
        <v>20</v>
      </c>
      <c r="M176" s="104">
        <v>7</v>
      </c>
      <c r="N176" s="122">
        <f t="shared" si="2"/>
        <v>5180</v>
      </c>
      <c r="O176" s="122">
        <f t="shared" si="3"/>
        <v>84</v>
      </c>
      <c r="P176" s="122">
        <f t="shared" si="3"/>
        <v>826</v>
      </c>
      <c r="Q176" s="128">
        <f t="shared" si="3"/>
        <v>280</v>
      </c>
      <c r="R176" s="128">
        <f t="shared" si="4"/>
        <v>42.419999999999995</v>
      </c>
      <c r="S176" s="127">
        <f t="shared" si="5"/>
        <v>2.6512499999999997</v>
      </c>
    </row>
    <row r="177" spans="1:19" ht="46.2" x14ac:dyDescent="0.85">
      <c r="A177" s="107"/>
      <c r="B177" s="135" t="s">
        <v>157</v>
      </c>
      <c r="C177" s="54" t="s">
        <v>520</v>
      </c>
      <c r="D177" s="37" t="s">
        <v>529</v>
      </c>
      <c r="E177" s="104">
        <v>2</v>
      </c>
      <c r="F177" s="105"/>
      <c r="G177" s="104">
        <v>430</v>
      </c>
      <c r="H177" s="112">
        <f>4.97/2</f>
        <v>2.4849999999999999</v>
      </c>
      <c r="I177" s="121">
        <f t="shared" si="1"/>
        <v>173.03822937625756</v>
      </c>
      <c r="J177" s="104">
        <v>24</v>
      </c>
      <c r="K177" s="112">
        <v>27</v>
      </c>
      <c r="L177" s="104">
        <v>26</v>
      </c>
      <c r="M177" s="104">
        <v>6</v>
      </c>
      <c r="N177" s="122">
        <f t="shared" si="2"/>
        <v>5160</v>
      </c>
      <c r="O177" s="122">
        <f t="shared" si="3"/>
        <v>288</v>
      </c>
      <c r="P177" s="122">
        <f t="shared" si="3"/>
        <v>324</v>
      </c>
      <c r="Q177" s="128">
        <f t="shared" si="3"/>
        <v>312</v>
      </c>
      <c r="R177" s="128">
        <f t="shared" si="4"/>
        <v>29.82</v>
      </c>
      <c r="S177" s="127">
        <f t="shared" si="5"/>
        <v>1.86375</v>
      </c>
    </row>
    <row r="178" spans="1:19" ht="46.2" x14ac:dyDescent="0.85">
      <c r="A178" s="107"/>
      <c r="B178" s="135" t="s">
        <v>157</v>
      </c>
      <c r="C178" s="54" t="s">
        <v>528</v>
      </c>
      <c r="D178" s="37" t="s">
        <v>530</v>
      </c>
      <c r="E178" s="104">
        <v>2</v>
      </c>
      <c r="F178" s="105"/>
      <c r="G178" s="104">
        <v>460</v>
      </c>
      <c r="H178" s="112">
        <f>5.71/2</f>
        <v>2.855</v>
      </c>
      <c r="I178" s="121">
        <f t="shared" si="1"/>
        <v>161.12084063047286</v>
      </c>
      <c r="J178" s="104">
        <v>32</v>
      </c>
      <c r="K178" s="112">
        <v>21</v>
      </c>
      <c r="L178" s="104">
        <v>22</v>
      </c>
      <c r="M178" s="104">
        <v>6</v>
      </c>
      <c r="N178" s="122">
        <f t="shared" si="2"/>
        <v>5520</v>
      </c>
      <c r="O178" s="122">
        <f t="shared" si="3"/>
        <v>384</v>
      </c>
      <c r="P178" s="122">
        <f t="shared" si="3"/>
        <v>252</v>
      </c>
      <c r="Q178" s="128">
        <f t="shared" si="3"/>
        <v>264</v>
      </c>
      <c r="R178" s="128">
        <f t="shared" si="4"/>
        <v>34.26</v>
      </c>
      <c r="S178" s="127">
        <f t="shared" si="5"/>
        <v>2.1412499999999999</v>
      </c>
    </row>
    <row r="179" spans="1:19" ht="46.2" x14ac:dyDescent="0.85">
      <c r="A179" s="107"/>
      <c r="B179" s="135" t="s">
        <v>157</v>
      </c>
      <c r="C179" s="54" t="s">
        <v>578</v>
      </c>
      <c r="D179" s="37" t="s">
        <v>579</v>
      </c>
      <c r="E179" s="104">
        <v>2</v>
      </c>
      <c r="F179" s="105"/>
      <c r="G179" s="104">
        <v>280</v>
      </c>
      <c r="H179" s="112">
        <f>4.2/2</f>
        <v>2.1</v>
      </c>
      <c r="I179" s="121">
        <f t="shared" si="1"/>
        <v>133.33333333333331</v>
      </c>
      <c r="J179" s="104">
        <v>10</v>
      </c>
      <c r="K179" s="112">
        <v>30</v>
      </c>
      <c r="L179" s="104">
        <v>18</v>
      </c>
      <c r="M179" s="104">
        <v>9</v>
      </c>
      <c r="N179" s="122">
        <f t="shared" si="2"/>
        <v>5040</v>
      </c>
      <c r="O179" s="122">
        <f t="shared" si="3"/>
        <v>180</v>
      </c>
      <c r="P179" s="122">
        <f t="shared" si="3"/>
        <v>540</v>
      </c>
      <c r="Q179" s="128">
        <f t="shared" si="3"/>
        <v>324</v>
      </c>
      <c r="R179" s="128">
        <f t="shared" si="4"/>
        <v>37.800000000000004</v>
      </c>
      <c r="S179" s="127">
        <f t="shared" si="5"/>
        <v>2.3625000000000003</v>
      </c>
    </row>
    <row r="180" spans="1:19" ht="46.2" x14ac:dyDescent="0.85">
      <c r="A180" s="107"/>
      <c r="B180" s="135" t="s">
        <v>157</v>
      </c>
      <c r="C180" s="54" t="s">
        <v>521</v>
      </c>
      <c r="D180" s="37" t="s">
        <v>523</v>
      </c>
      <c r="E180" s="104">
        <v>2</v>
      </c>
      <c r="F180" s="105"/>
      <c r="G180" s="104">
        <v>260</v>
      </c>
      <c r="H180" s="112">
        <f>3.7/2</f>
        <v>1.85</v>
      </c>
      <c r="I180" s="121">
        <f t="shared" si="1"/>
        <v>140.54054054054055</v>
      </c>
      <c r="J180" s="104">
        <v>12</v>
      </c>
      <c r="K180" s="112">
        <v>23</v>
      </c>
      <c r="L180" s="104">
        <v>14</v>
      </c>
      <c r="M180" s="104">
        <v>11</v>
      </c>
      <c r="N180" s="122">
        <f t="shared" si="2"/>
        <v>5720</v>
      </c>
      <c r="O180" s="122">
        <f t="shared" si="3"/>
        <v>264</v>
      </c>
      <c r="P180" s="122">
        <f t="shared" si="3"/>
        <v>506</v>
      </c>
      <c r="Q180" s="128">
        <f t="shared" si="3"/>
        <v>308</v>
      </c>
      <c r="R180" s="128">
        <f t="shared" si="4"/>
        <v>40.700000000000003</v>
      </c>
      <c r="S180" s="127">
        <f t="shared" si="5"/>
        <v>2.5437500000000002</v>
      </c>
    </row>
    <row r="181" spans="1:19" ht="46.2" x14ac:dyDescent="0.85">
      <c r="A181" s="107"/>
      <c r="B181" s="135" t="s">
        <v>157</v>
      </c>
      <c r="C181" s="54" t="s">
        <v>524</v>
      </c>
      <c r="D181" s="37" t="s">
        <v>538</v>
      </c>
      <c r="E181" s="104">
        <v>2</v>
      </c>
      <c r="F181" s="105"/>
      <c r="G181" s="104">
        <v>570</v>
      </c>
      <c r="H181" s="112">
        <f>6.77/2</f>
        <v>3.3849999999999998</v>
      </c>
      <c r="I181" s="121">
        <f t="shared" si="1"/>
        <v>168.38995568685377</v>
      </c>
      <c r="J181" s="104">
        <v>45</v>
      </c>
      <c r="K181" s="112">
        <v>27</v>
      </c>
      <c r="L181" s="104">
        <v>18</v>
      </c>
      <c r="M181" s="104">
        <v>11</v>
      </c>
      <c r="N181" s="122">
        <f t="shared" si="2"/>
        <v>12540</v>
      </c>
      <c r="O181" s="122">
        <f t="shared" ref="O181:O192" si="6">J181*$E181*$M181</f>
        <v>990</v>
      </c>
      <c r="P181" s="122">
        <f t="shared" ref="P181:P192" si="7">K181*$E181*$M181</f>
        <v>594</v>
      </c>
      <c r="Q181" s="128">
        <f t="shared" ref="Q181:Q192" si="8">L181*$E181*$M181</f>
        <v>396</v>
      </c>
      <c r="R181" s="128">
        <f t="shared" ref="R181:R192" si="9">M181*E181*H181</f>
        <v>74.47</v>
      </c>
      <c r="S181" s="127">
        <f t="shared" ref="S181:S192" si="10">R181/16</f>
        <v>4.6543749999999999</v>
      </c>
    </row>
    <row r="182" spans="1:19" ht="46.2" x14ac:dyDescent="0.85">
      <c r="A182" s="107"/>
      <c r="B182" s="135"/>
      <c r="C182" s="54" t="s">
        <v>385</v>
      </c>
      <c r="D182" s="37" t="s">
        <v>531</v>
      </c>
      <c r="E182" s="104">
        <v>7</v>
      </c>
      <c r="F182" s="105"/>
      <c r="G182" s="104">
        <v>200</v>
      </c>
      <c r="H182" s="112">
        <f>9.5/E182</f>
        <v>1.3571428571428572</v>
      </c>
      <c r="I182" s="121">
        <f t="shared" si="1"/>
        <v>147.36842105263156</v>
      </c>
      <c r="J182" s="104">
        <v>10</v>
      </c>
      <c r="K182" s="112">
        <v>26</v>
      </c>
      <c r="L182" s="104">
        <v>1</v>
      </c>
      <c r="M182" s="104">
        <v>4</v>
      </c>
      <c r="N182" s="122">
        <f t="shared" ref="N182:N192" si="11">M182*(E182*G182)</f>
        <v>5600</v>
      </c>
      <c r="O182" s="122">
        <f t="shared" si="6"/>
        <v>280</v>
      </c>
      <c r="P182" s="122">
        <f t="shared" si="7"/>
        <v>728</v>
      </c>
      <c r="Q182" s="128">
        <f t="shared" si="8"/>
        <v>28</v>
      </c>
      <c r="R182" s="128">
        <f t="shared" si="9"/>
        <v>38</v>
      </c>
      <c r="S182" s="127">
        <f t="shared" si="10"/>
        <v>2.375</v>
      </c>
    </row>
    <row r="183" spans="1:19" ht="46.2" x14ac:dyDescent="0.85">
      <c r="A183" s="107"/>
      <c r="B183" s="135"/>
      <c r="C183" s="54" t="s">
        <v>535</v>
      </c>
      <c r="D183" s="37" t="s">
        <v>531</v>
      </c>
      <c r="E183" s="104">
        <v>17</v>
      </c>
      <c r="F183" s="105"/>
      <c r="G183" s="104">
        <v>150</v>
      </c>
      <c r="H183" s="112">
        <f>18/E183</f>
        <v>1.0588235294117647</v>
      </c>
      <c r="I183" s="121">
        <f t="shared" si="1"/>
        <v>141.66666666666666</v>
      </c>
      <c r="J183" s="104">
        <v>8</v>
      </c>
      <c r="K183" s="112">
        <v>20</v>
      </c>
      <c r="L183" s="104">
        <v>1</v>
      </c>
      <c r="M183" s="104"/>
      <c r="N183" s="122">
        <f t="shared" si="11"/>
        <v>0</v>
      </c>
      <c r="O183" s="122">
        <f t="shared" si="6"/>
        <v>0</v>
      </c>
      <c r="P183" s="122">
        <f t="shared" si="7"/>
        <v>0</v>
      </c>
      <c r="Q183" s="128">
        <f t="shared" si="8"/>
        <v>0</v>
      </c>
      <c r="R183" s="128">
        <f t="shared" si="9"/>
        <v>0</v>
      </c>
      <c r="S183" s="127">
        <f t="shared" si="10"/>
        <v>0</v>
      </c>
    </row>
    <row r="184" spans="1:19" ht="46.2" x14ac:dyDescent="0.85">
      <c r="A184" s="107"/>
      <c r="B184" s="135"/>
      <c r="C184" s="54" t="s">
        <v>386</v>
      </c>
      <c r="D184" s="37"/>
      <c r="E184" s="104"/>
      <c r="F184" s="105"/>
      <c r="G184" s="104"/>
      <c r="H184" s="104"/>
      <c r="I184" s="121"/>
      <c r="J184" s="104"/>
      <c r="K184" s="112"/>
      <c r="L184" s="104"/>
      <c r="M184" s="104"/>
      <c r="N184" s="122">
        <f t="shared" si="11"/>
        <v>0</v>
      </c>
      <c r="O184" s="122">
        <f t="shared" si="6"/>
        <v>0</v>
      </c>
      <c r="P184" s="122">
        <f t="shared" si="7"/>
        <v>0</v>
      </c>
      <c r="Q184" s="128">
        <f t="shared" si="8"/>
        <v>0</v>
      </c>
      <c r="R184" s="128">
        <f t="shared" si="9"/>
        <v>0</v>
      </c>
      <c r="S184" s="127">
        <f t="shared" si="10"/>
        <v>0</v>
      </c>
    </row>
    <row r="185" spans="1:19" ht="46.2" x14ac:dyDescent="0.85">
      <c r="A185" s="107"/>
      <c r="B185" s="135"/>
      <c r="C185" s="54" t="s">
        <v>387</v>
      </c>
      <c r="D185" s="37"/>
      <c r="E185" s="104">
        <v>1</v>
      </c>
      <c r="F185" s="105"/>
      <c r="G185" s="104">
        <f>120/0.493835</f>
        <v>242.99614243623881</v>
      </c>
      <c r="H185" s="104">
        <v>1</v>
      </c>
      <c r="I185" s="121">
        <f>G185/H185</f>
        <v>242.99614243623881</v>
      </c>
      <c r="J185" s="121">
        <f>14/0.493835</f>
        <v>28.349549950894527</v>
      </c>
      <c r="K185" s="112">
        <v>0</v>
      </c>
      <c r="L185" s="104">
        <v>0</v>
      </c>
      <c r="M185" s="104">
        <v>16</v>
      </c>
      <c r="N185" s="122">
        <f t="shared" si="11"/>
        <v>3887.938278979821</v>
      </c>
      <c r="O185" s="122">
        <f t="shared" si="6"/>
        <v>453.59279921431244</v>
      </c>
      <c r="P185" s="122">
        <f t="shared" si="7"/>
        <v>0</v>
      </c>
      <c r="Q185" s="128">
        <f t="shared" si="8"/>
        <v>0</v>
      </c>
      <c r="R185" s="128">
        <f t="shared" si="9"/>
        <v>16</v>
      </c>
      <c r="S185" s="127">
        <f t="shared" si="10"/>
        <v>1</v>
      </c>
    </row>
    <row r="186" spans="1:19" ht="46.2" x14ac:dyDescent="0.85">
      <c r="A186" s="107"/>
      <c r="B186" s="135"/>
      <c r="C186" s="54" t="s">
        <v>388</v>
      </c>
      <c r="D186" s="37" t="s">
        <v>536</v>
      </c>
      <c r="E186" s="104">
        <v>4</v>
      </c>
      <c r="F186" s="105"/>
      <c r="G186" s="104">
        <v>200</v>
      </c>
      <c r="H186" s="125">
        <v>1.3404100000000001</v>
      </c>
      <c r="I186" s="121">
        <f>G186/H186</f>
        <v>149.20807812534969</v>
      </c>
      <c r="J186" s="104">
        <v>17</v>
      </c>
      <c r="K186" s="112">
        <v>17</v>
      </c>
      <c r="L186" s="104">
        <v>2</v>
      </c>
      <c r="M186" s="104">
        <v>3</v>
      </c>
      <c r="N186" s="122">
        <f t="shared" si="11"/>
        <v>2400</v>
      </c>
      <c r="O186" s="122">
        <f t="shared" si="6"/>
        <v>204</v>
      </c>
      <c r="P186" s="122">
        <f t="shared" si="7"/>
        <v>204</v>
      </c>
      <c r="Q186" s="128">
        <f t="shared" si="8"/>
        <v>24</v>
      </c>
      <c r="R186" s="128">
        <f t="shared" si="9"/>
        <v>16.08492</v>
      </c>
      <c r="S186" s="127">
        <f t="shared" si="10"/>
        <v>1.0053075</v>
      </c>
    </row>
    <row r="187" spans="1:19" ht="46.2" x14ac:dyDescent="0.85">
      <c r="A187" s="107"/>
      <c r="B187" s="135"/>
      <c r="C187" s="54" t="s">
        <v>388</v>
      </c>
      <c r="D187" s="37"/>
      <c r="E187" s="104">
        <v>8</v>
      </c>
      <c r="F187" s="105"/>
      <c r="G187" s="104">
        <v>120</v>
      </c>
      <c r="H187" s="125">
        <f>7/E187</f>
        <v>0.875</v>
      </c>
      <c r="I187" s="121">
        <f>G187/H187</f>
        <v>137.14285714285714</v>
      </c>
      <c r="J187" s="104">
        <v>7</v>
      </c>
      <c r="K187" s="112">
        <v>15</v>
      </c>
      <c r="L187" s="104">
        <v>2</v>
      </c>
      <c r="M187" s="104"/>
      <c r="N187" s="122">
        <f t="shared" si="11"/>
        <v>0</v>
      </c>
      <c r="O187" s="122">
        <f t="shared" si="6"/>
        <v>0</v>
      </c>
      <c r="P187" s="122">
        <f t="shared" si="7"/>
        <v>0</v>
      </c>
      <c r="Q187" s="128">
        <f t="shared" si="8"/>
        <v>0</v>
      </c>
      <c r="R187" s="128"/>
      <c r="S187" s="127"/>
    </row>
    <row r="188" spans="1:19" ht="46.2" x14ac:dyDescent="0.85">
      <c r="A188" s="107"/>
      <c r="B188" s="135"/>
      <c r="C188" s="54" t="s">
        <v>389</v>
      </c>
      <c r="D188" s="37"/>
      <c r="E188" s="104"/>
      <c r="F188" s="105"/>
      <c r="G188" s="104"/>
      <c r="H188" s="104"/>
      <c r="I188" s="104"/>
      <c r="J188" s="104"/>
      <c r="K188" s="112"/>
      <c r="L188" s="104"/>
      <c r="M188" s="104"/>
      <c r="N188" s="122">
        <f t="shared" si="11"/>
        <v>0</v>
      </c>
      <c r="O188" s="122">
        <f t="shared" si="6"/>
        <v>0</v>
      </c>
      <c r="P188" s="122">
        <f t="shared" si="7"/>
        <v>0</v>
      </c>
      <c r="Q188" s="128">
        <f t="shared" si="8"/>
        <v>0</v>
      </c>
      <c r="R188" s="128">
        <f t="shared" si="9"/>
        <v>0</v>
      </c>
      <c r="S188" s="127">
        <f t="shared" si="10"/>
        <v>0</v>
      </c>
    </row>
    <row r="189" spans="1:19" ht="46.2" x14ac:dyDescent="0.85">
      <c r="A189" s="108">
        <v>125</v>
      </c>
      <c r="B189" s="138"/>
      <c r="C189" s="54" t="s">
        <v>390</v>
      </c>
      <c r="D189" s="37"/>
      <c r="E189" s="104"/>
      <c r="F189" s="105"/>
      <c r="G189" s="104"/>
      <c r="H189" s="104"/>
      <c r="I189" s="104"/>
      <c r="J189" s="104"/>
      <c r="K189" s="112"/>
      <c r="L189" s="104"/>
      <c r="M189" s="104"/>
      <c r="N189" s="122">
        <f t="shared" si="11"/>
        <v>0</v>
      </c>
      <c r="O189" s="122">
        <f t="shared" si="6"/>
        <v>0</v>
      </c>
      <c r="P189" s="122">
        <f t="shared" si="7"/>
        <v>0</v>
      </c>
      <c r="Q189" s="128">
        <f t="shared" si="8"/>
        <v>0</v>
      </c>
      <c r="R189" s="128">
        <f t="shared" si="9"/>
        <v>0</v>
      </c>
      <c r="S189" s="127">
        <f t="shared" si="10"/>
        <v>0</v>
      </c>
    </row>
    <row r="190" spans="1:19" ht="46.2" x14ac:dyDescent="0.85">
      <c r="A190" s="107"/>
      <c r="B190" s="135"/>
      <c r="C190" s="54" t="s">
        <v>391</v>
      </c>
      <c r="D190" s="37"/>
      <c r="E190" s="104">
        <v>1</v>
      </c>
      <c r="F190" s="105"/>
      <c r="G190" s="104">
        <v>150</v>
      </c>
      <c r="H190" s="104">
        <v>1</v>
      </c>
      <c r="I190" s="104">
        <v>150</v>
      </c>
      <c r="J190" s="104">
        <v>8</v>
      </c>
      <c r="K190" s="112">
        <v>16</v>
      </c>
      <c r="L190" s="104">
        <v>3</v>
      </c>
      <c r="M190" s="104">
        <v>34</v>
      </c>
      <c r="N190" s="122">
        <f t="shared" si="11"/>
        <v>5100</v>
      </c>
      <c r="O190" s="122">
        <f t="shared" si="6"/>
        <v>272</v>
      </c>
      <c r="P190" s="122">
        <f t="shared" si="7"/>
        <v>544</v>
      </c>
      <c r="Q190" s="128">
        <f t="shared" si="8"/>
        <v>102</v>
      </c>
      <c r="R190" s="128">
        <f t="shared" si="9"/>
        <v>34</v>
      </c>
      <c r="S190" s="127">
        <f t="shared" si="10"/>
        <v>2.125</v>
      </c>
    </row>
    <row r="191" spans="1:19" ht="46.2" x14ac:dyDescent="0.85">
      <c r="A191" s="108"/>
      <c r="B191" s="138"/>
      <c r="C191" s="54" t="s">
        <v>532</v>
      </c>
      <c r="D191" s="37" t="s">
        <v>533</v>
      </c>
      <c r="E191" s="104">
        <v>13.75</v>
      </c>
      <c r="F191" s="105"/>
      <c r="G191" s="104">
        <v>190</v>
      </c>
      <c r="H191" s="125">
        <f>16/E191</f>
        <v>1.1636363636363636</v>
      </c>
      <c r="I191" s="121">
        <f>G191/H191</f>
        <v>163.28125</v>
      </c>
      <c r="J191" s="104">
        <v>16</v>
      </c>
      <c r="K191" s="112">
        <v>8</v>
      </c>
      <c r="L191" s="104">
        <v>7</v>
      </c>
      <c r="M191" s="104">
        <v>2</v>
      </c>
      <c r="N191" s="122">
        <f>M191*(E191*G191)</f>
        <v>5225</v>
      </c>
      <c r="O191" s="122">
        <f>J191*$E191*$M191</f>
        <v>440</v>
      </c>
      <c r="P191" s="122">
        <f>K191*$E191*$M191</f>
        <v>220</v>
      </c>
      <c r="Q191" s="128">
        <f>L191*$E191*$M191</f>
        <v>192.5</v>
      </c>
      <c r="R191" s="128">
        <f>M191*E191*H191</f>
        <v>32</v>
      </c>
      <c r="S191" s="127">
        <f>R191/16</f>
        <v>2</v>
      </c>
    </row>
    <row r="192" spans="1:19" ht="46.2" x14ac:dyDescent="0.85">
      <c r="A192" s="109"/>
      <c r="B192" s="139"/>
      <c r="C192" s="54" t="s">
        <v>392</v>
      </c>
      <c r="D192" s="37" t="s">
        <v>534</v>
      </c>
      <c r="E192" s="104">
        <v>1</v>
      </c>
      <c r="F192" s="105"/>
      <c r="G192" s="104">
        <v>90</v>
      </c>
      <c r="H192" s="104">
        <v>1</v>
      </c>
      <c r="I192" s="104">
        <v>90</v>
      </c>
      <c r="J192" s="104">
        <v>2</v>
      </c>
      <c r="K192" s="112">
        <v>16</v>
      </c>
      <c r="L192" s="104">
        <v>16</v>
      </c>
      <c r="M192" s="104">
        <v>42</v>
      </c>
      <c r="N192" s="122">
        <f t="shared" si="11"/>
        <v>3780</v>
      </c>
      <c r="O192" s="122">
        <f t="shared" si="6"/>
        <v>84</v>
      </c>
      <c r="P192" s="122">
        <f t="shared" si="7"/>
        <v>672</v>
      </c>
      <c r="Q192" s="128">
        <f t="shared" si="8"/>
        <v>672</v>
      </c>
      <c r="R192" s="128">
        <f t="shared" si="9"/>
        <v>42</v>
      </c>
      <c r="S192" s="127">
        <f t="shared" si="10"/>
        <v>2.625</v>
      </c>
    </row>
    <row r="193" spans="1:19" ht="46.2" x14ac:dyDescent="0.85">
      <c r="A193" s="92"/>
      <c r="B193" s="92"/>
      <c r="C193" s="54" t="s">
        <v>70</v>
      </c>
      <c r="D193" s="37"/>
      <c r="E193" s="104"/>
      <c r="F193" s="105"/>
      <c r="G193" s="104"/>
      <c r="H193" s="104"/>
      <c r="I193" s="104"/>
      <c r="J193" s="104"/>
      <c r="K193" s="112"/>
      <c r="L193" s="104"/>
      <c r="M193" s="104"/>
      <c r="N193" s="122">
        <f t="shared" ref="N193:S193" si="12">SUM(N175:N192)</f>
        <v>71032.938278979826</v>
      </c>
      <c r="O193" s="122">
        <f t="shared" si="12"/>
        <v>4271.5927992143124</v>
      </c>
      <c r="P193" s="122">
        <f t="shared" si="12"/>
        <v>5758</v>
      </c>
      <c r="Q193" s="122">
        <f t="shared" si="12"/>
        <v>3202.5</v>
      </c>
      <c r="R193" s="122">
        <f t="shared" si="12"/>
        <v>475.65491999999995</v>
      </c>
      <c r="S193" s="126">
        <f t="shared" si="12"/>
        <v>29.728432499999997</v>
      </c>
    </row>
    <row r="194" spans="1:19" ht="46.2" x14ac:dyDescent="0.85">
      <c r="A194" s="110"/>
      <c r="B194" s="110"/>
      <c r="C194" s="56" t="s">
        <v>525</v>
      </c>
      <c r="D194" s="57"/>
      <c r="E194" s="116"/>
      <c r="F194" s="117"/>
      <c r="G194" s="116"/>
      <c r="H194" s="116"/>
      <c r="I194" s="116"/>
      <c r="J194" s="116"/>
      <c r="K194" s="118"/>
      <c r="L194" s="116"/>
      <c r="M194" s="116">
        <v>14</v>
      </c>
      <c r="N194" s="123">
        <f>M194*5000</f>
        <v>70000</v>
      </c>
      <c r="O194" s="123"/>
      <c r="P194" s="123"/>
      <c r="Q194" s="124"/>
      <c r="R194" s="119"/>
    </row>
    <row r="195" spans="1:19" x14ac:dyDescent="0.3">
      <c r="F195" s="3"/>
    </row>
    <row r="197" spans="1:19" ht="46.2" x14ac:dyDescent="0.85">
      <c r="C197" s="54" t="s">
        <v>519</v>
      </c>
      <c r="D197" s="98" t="s">
        <v>518</v>
      </c>
      <c r="E197" s="104">
        <v>2</v>
      </c>
      <c r="F197" s="105"/>
      <c r="G197" s="104">
        <v>370</v>
      </c>
      <c r="H197" s="104">
        <f>5.15/2</f>
        <v>2.5750000000000002</v>
      </c>
      <c r="I197" s="121">
        <f>G197/H197</f>
        <v>143.6893203883495</v>
      </c>
      <c r="J197" s="104">
        <v>19</v>
      </c>
      <c r="K197" s="112">
        <v>30</v>
      </c>
      <c r="L197" s="104">
        <v>20</v>
      </c>
      <c r="M197" s="10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workbookViewId="0"/>
  </sheetViews>
  <sheetFormatPr defaultRowHeight="14.4" x14ac:dyDescent="0.3"/>
  <sheetData>
    <row r="1" spans="1:14" x14ac:dyDescent="0.3">
      <c r="B1">
        <v>2019</v>
      </c>
      <c r="C1">
        <v>2018</v>
      </c>
      <c r="D1">
        <v>2017</v>
      </c>
      <c r="E1">
        <v>2016</v>
      </c>
      <c r="F1">
        <v>2009</v>
      </c>
      <c r="G1">
        <v>2008</v>
      </c>
      <c r="H1">
        <v>2007</v>
      </c>
      <c r="I1">
        <v>2006</v>
      </c>
      <c r="J1">
        <v>2005</v>
      </c>
      <c r="K1">
        <v>2004</v>
      </c>
      <c r="L1">
        <v>2003</v>
      </c>
      <c r="M1">
        <v>2002</v>
      </c>
      <c r="N1">
        <v>2001</v>
      </c>
    </row>
    <row r="2" spans="1:14" x14ac:dyDescent="0.3">
      <c r="A2" t="s">
        <v>377</v>
      </c>
      <c r="B2">
        <v>119</v>
      </c>
      <c r="C2">
        <v>90</v>
      </c>
      <c r="D2">
        <v>103</v>
      </c>
      <c r="E2">
        <v>100</v>
      </c>
      <c r="F2">
        <v>145</v>
      </c>
      <c r="G2">
        <v>150</v>
      </c>
      <c r="H2">
        <v>132</v>
      </c>
      <c r="I2">
        <v>111</v>
      </c>
      <c r="J2">
        <v>108</v>
      </c>
      <c r="K2">
        <v>84</v>
      </c>
      <c r="L2">
        <v>102</v>
      </c>
      <c r="M2">
        <v>91</v>
      </c>
      <c r="N2">
        <v>95</v>
      </c>
    </row>
    <row r="3" spans="1:14" x14ac:dyDescent="0.3">
      <c r="A3" t="s">
        <v>378</v>
      </c>
      <c r="B3">
        <v>65</v>
      </c>
      <c r="C3">
        <v>47</v>
      </c>
      <c r="D3">
        <v>47</v>
      </c>
      <c r="E3">
        <v>45</v>
      </c>
      <c r="F3">
        <v>84</v>
      </c>
      <c r="G3">
        <v>76</v>
      </c>
      <c r="H3">
        <v>80</v>
      </c>
      <c r="I3">
        <v>74</v>
      </c>
      <c r="J3">
        <v>66</v>
      </c>
      <c r="K3">
        <v>46</v>
      </c>
      <c r="L3">
        <v>53</v>
      </c>
      <c r="M3">
        <v>40</v>
      </c>
      <c r="N3">
        <v>53</v>
      </c>
    </row>
    <row r="4" spans="1:14" x14ac:dyDescent="0.3">
      <c r="A4" t="s">
        <v>383</v>
      </c>
      <c r="B4" s="87">
        <f>B3/B2</f>
        <v>0.54621848739495793</v>
      </c>
      <c r="C4" s="87">
        <f t="shared" ref="C4:N4" si="0">C3/C2</f>
        <v>0.52222222222222225</v>
      </c>
      <c r="D4" s="87">
        <f t="shared" si="0"/>
        <v>0.4563106796116505</v>
      </c>
      <c r="E4" s="87">
        <f t="shared" si="0"/>
        <v>0.45</v>
      </c>
      <c r="F4" s="87">
        <f t="shared" si="0"/>
        <v>0.57931034482758625</v>
      </c>
      <c r="G4" s="87">
        <f t="shared" si="0"/>
        <v>0.50666666666666671</v>
      </c>
      <c r="H4" s="87">
        <f t="shared" si="0"/>
        <v>0.60606060606060608</v>
      </c>
      <c r="I4" s="87">
        <f t="shared" si="0"/>
        <v>0.66666666666666663</v>
      </c>
      <c r="J4" s="87">
        <f t="shared" si="0"/>
        <v>0.61111111111111116</v>
      </c>
      <c r="K4" s="87">
        <f t="shared" si="0"/>
        <v>0.54761904761904767</v>
      </c>
      <c r="L4" s="87">
        <f t="shared" si="0"/>
        <v>0.51960784313725494</v>
      </c>
      <c r="M4" s="87">
        <f t="shared" si="0"/>
        <v>0.43956043956043955</v>
      </c>
      <c r="N4" s="87">
        <f t="shared" si="0"/>
        <v>0.55789473684210522</v>
      </c>
    </row>
    <row r="5" spans="1:14" x14ac:dyDescent="0.3">
      <c r="A5" t="s">
        <v>381</v>
      </c>
      <c r="F5">
        <v>63</v>
      </c>
      <c r="G5">
        <v>71</v>
      </c>
      <c r="H5">
        <v>84</v>
      </c>
      <c r="I5">
        <v>99</v>
      </c>
      <c r="J5">
        <v>101</v>
      </c>
      <c r="K5">
        <v>66</v>
      </c>
      <c r="L5">
        <v>114</v>
      </c>
      <c r="M5">
        <v>137</v>
      </c>
      <c r="N5">
        <v>177</v>
      </c>
    </row>
    <row r="6" spans="1:14" x14ac:dyDescent="0.3">
      <c r="A6" t="s">
        <v>379</v>
      </c>
      <c r="F6">
        <v>13</v>
      </c>
      <c r="G6">
        <v>9</v>
      </c>
      <c r="H6">
        <v>16</v>
      </c>
      <c r="I6">
        <v>29</v>
      </c>
      <c r="J6">
        <v>32</v>
      </c>
      <c r="K6">
        <v>19</v>
      </c>
      <c r="L6">
        <v>31</v>
      </c>
      <c r="M6">
        <v>59</v>
      </c>
      <c r="N6">
        <v>99</v>
      </c>
    </row>
    <row r="7" spans="1:14" x14ac:dyDescent="0.3">
      <c r="A7" t="s">
        <v>380</v>
      </c>
      <c r="F7">
        <v>48</v>
      </c>
      <c r="G7">
        <v>62</v>
      </c>
      <c r="H7">
        <v>68</v>
      </c>
      <c r="I7">
        <v>70</v>
      </c>
      <c r="J7">
        <v>69</v>
      </c>
      <c r="K7">
        <v>47</v>
      </c>
      <c r="L7">
        <v>83</v>
      </c>
      <c r="M7">
        <v>78</v>
      </c>
      <c r="N7">
        <v>78</v>
      </c>
    </row>
    <row r="8" spans="1:14" x14ac:dyDescent="0.3">
      <c r="A8" t="s">
        <v>382</v>
      </c>
      <c r="F8">
        <v>29</v>
      </c>
      <c r="G8">
        <v>40</v>
      </c>
      <c r="H8">
        <v>49</v>
      </c>
      <c r="I8">
        <v>39</v>
      </c>
      <c r="J8">
        <v>29</v>
      </c>
      <c r="K8">
        <v>22</v>
      </c>
      <c r="L8">
        <v>27</v>
      </c>
      <c r="M8">
        <v>48</v>
      </c>
      <c r="N8">
        <v>20</v>
      </c>
    </row>
    <row r="9" spans="1:14" x14ac:dyDescent="0.3">
      <c r="A9" t="s">
        <v>384</v>
      </c>
      <c r="F9" s="87">
        <f>F8/F2</f>
        <v>0.2</v>
      </c>
      <c r="G9" s="87">
        <f t="shared" ref="G9:N9" si="1">G8/G2</f>
        <v>0.26666666666666666</v>
      </c>
      <c r="H9" s="87">
        <f t="shared" si="1"/>
        <v>0.37121212121212122</v>
      </c>
      <c r="I9" s="87">
        <f t="shared" si="1"/>
        <v>0.35135135135135137</v>
      </c>
      <c r="J9" s="87">
        <f t="shared" si="1"/>
        <v>0.26851851851851855</v>
      </c>
      <c r="K9" s="87">
        <f t="shared" si="1"/>
        <v>0.26190476190476192</v>
      </c>
      <c r="L9" s="87">
        <f t="shared" si="1"/>
        <v>0.26470588235294118</v>
      </c>
      <c r="M9" s="87">
        <f t="shared" si="1"/>
        <v>0.52747252747252749</v>
      </c>
      <c r="N9" s="87">
        <f t="shared" si="1"/>
        <v>0.21052631578947367</v>
      </c>
    </row>
    <row r="10" spans="1:14" x14ac:dyDescent="0.3">
      <c r="F10" s="87"/>
      <c r="G10" s="87"/>
      <c r="H10" s="87"/>
      <c r="I10" s="87"/>
      <c r="J10" s="87"/>
      <c r="K10" s="87"/>
      <c r="L10" s="87"/>
      <c r="M10" s="87"/>
      <c r="N10" s="87"/>
    </row>
    <row r="11" spans="1:14" x14ac:dyDescent="0.3">
      <c r="A11" t="s">
        <v>426</v>
      </c>
      <c r="F11" s="87"/>
      <c r="G11" s="87"/>
      <c r="H11" s="87"/>
      <c r="I11" s="87"/>
      <c r="J11" s="87"/>
      <c r="K11" s="87"/>
      <c r="L11" s="87"/>
      <c r="M11" s="87"/>
      <c r="N11" s="87"/>
    </row>
    <row r="12" spans="1:14" x14ac:dyDescent="0.3">
      <c r="A12" t="s">
        <v>420</v>
      </c>
    </row>
    <row r="13" spans="1:14" x14ac:dyDescent="0.3">
      <c r="A13" t="s">
        <v>417</v>
      </c>
    </row>
    <row r="14" spans="1:14" x14ac:dyDescent="0.3">
      <c r="A14" t="s">
        <v>423</v>
      </c>
    </row>
    <row r="15" spans="1:14" x14ac:dyDescent="0.3">
      <c r="A15" t="s">
        <v>424</v>
      </c>
    </row>
    <row r="16" spans="1:14" x14ac:dyDescent="0.3">
      <c r="A16" t="s">
        <v>422</v>
      </c>
    </row>
    <row r="17" spans="1:1" x14ac:dyDescent="0.3">
      <c r="A17" t="s">
        <v>421</v>
      </c>
    </row>
    <row r="18" spans="1:1" x14ac:dyDescent="0.3">
      <c r="A18" t="s">
        <v>425</v>
      </c>
    </row>
    <row r="19" spans="1:1" x14ac:dyDescent="0.3">
      <c r="A19" t="s">
        <v>418</v>
      </c>
    </row>
    <row r="20" spans="1:1" x14ac:dyDescent="0.3">
      <c r="A20" t="s">
        <v>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9"/>
  <sheetViews>
    <sheetView workbookViewId="0"/>
  </sheetViews>
  <sheetFormatPr defaultRowHeight="14.4" x14ac:dyDescent="0.3"/>
  <sheetData>
    <row r="1" spans="1:17" ht="25.8" x14ac:dyDescent="0.5">
      <c r="A1" t="s">
        <v>371</v>
      </c>
      <c r="B1" s="75" t="s">
        <v>2</v>
      </c>
      <c r="C1" s="76" t="s">
        <v>337</v>
      </c>
      <c r="D1" s="76" t="s">
        <v>338</v>
      </c>
      <c r="E1" s="76" t="s">
        <v>336</v>
      </c>
      <c r="F1" s="76" t="s">
        <v>339</v>
      </c>
    </row>
    <row r="2" spans="1:17" ht="82.8" x14ac:dyDescent="0.3">
      <c r="A2" t="s">
        <v>372</v>
      </c>
      <c r="B2" s="78" t="s">
        <v>342</v>
      </c>
      <c r="C2" s="79" t="s">
        <v>343</v>
      </c>
      <c r="D2" s="79" t="s">
        <v>341</v>
      </c>
      <c r="E2" s="80">
        <v>89</v>
      </c>
      <c r="F2" s="79" t="s">
        <v>340</v>
      </c>
      <c r="G2" s="79"/>
      <c r="H2" s="79"/>
      <c r="I2" s="79"/>
    </row>
    <row r="3" spans="1:17" ht="82.8" x14ac:dyDescent="0.3">
      <c r="B3" s="77" t="s">
        <v>344</v>
      </c>
      <c r="C3" t="s">
        <v>345</v>
      </c>
      <c r="D3" t="s">
        <v>349</v>
      </c>
      <c r="E3" s="3">
        <v>499.95</v>
      </c>
      <c r="F3" t="s">
        <v>346</v>
      </c>
    </row>
    <row r="4" spans="1:17" ht="96.6" x14ac:dyDescent="0.3">
      <c r="B4" s="77" t="s">
        <v>347</v>
      </c>
      <c r="C4" t="s">
        <v>348</v>
      </c>
      <c r="D4" t="s">
        <v>349</v>
      </c>
      <c r="E4" s="3">
        <v>80</v>
      </c>
      <c r="F4" t="s">
        <v>350</v>
      </c>
    </row>
    <row r="5" spans="1:17" ht="69" x14ac:dyDescent="0.3">
      <c r="B5" s="78" t="s">
        <v>352</v>
      </c>
      <c r="C5" s="79" t="s">
        <v>353</v>
      </c>
      <c r="D5" s="79">
        <v>12</v>
      </c>
      <c r="E5" s="80">
        <v>395</v>
      </c>
      <c r="F5" s="79" t="s">
        <v>351</v>
      </c>
    </row>
    <row r="6" spans="1:17" ht="69" x14ac:dyDescent="0.3">
      <c r="B6" s="78" t="s">
        <v>354</v>
      </c>
      <c r="C6" s="79" t="s">
        <v>348</v>
      </c>
      <c r="D6" s="79" t="s">
        <v>341</v>
      </c>
      <c r="E6" s="80">
        <v>329</v>
      </c>
      <c r="F6" s="79" t="s">
        <v>355</v>
      </c>
    </row>
    <row r="7" spans="1:17" ht="165" x14ac:dyDescent="0.3">
      <c r="A7">
        <v>1</v>
      </c>
      <c r="B7" s="81" t="s">
        <v>373</v>
      </c>
      <c r="D7" t="s">
        <v>374</v>
      </c>
      <c r="E7" s="3">
        <v>400</v>
      </c>
      <c r="F7" t="s">
        <v>375</v>
      </c>
      <c r="Q7" s="24" t="s">
        <v>356</v>
      </c>
    </row>
    <row r="8" spans="1:17" ht="55.2" x14ac:dyDescent="0.3">
      <c r="A8">
        <v>2</v>
      </c>
      <c r="B8" s="77" t="s">
        <v>358</v>
      </c>
      <c r="C8" t="s">
        <v>359</v>
      </c>
      <c r="E8" s="3">
        <v>2600</v>
      </c>
      <c r="F8" t="s">
        <v>357</v>
      </c>
    </row>
    <row r="9" spans="1:17" ht="55.2" x14ac:dyDescent="0.3">
      <c r="A9">
        <v>1</v>
      </c>
      <c r="B9" s="78" t="s">
        <v>362</v>
      </c>
      <c r="C9" s="79" t="s">
        <v>361</v>
      </c>
      <c r="D9" s="79">
        <v>7800</v>
      </c>
      <c r="E9" s="80">
        <v>249</v>
      </c>
      <c r="F9" s="79" t="s">
        <v>360</v>
      </c>
    </row>
    <row r="10" spans="1:17" ht="41.4" x14ac:dyDescent="0.3">
      <c r="A10">
        <v>1</v>
      </c>
      <c r="B10" s="78" t="s">
        <v>363</v>
      </c>
      <c r="C10" s="79" t="s">
        <v>364</v>
      </c>
      <c r="D10" s="79">
        <v>7000</v>
      </c>
      <c r="E10" s="80">
        <v>189</v>
      </c>
      <c r="F10" s="79" t="s">
        <v>365</v>
      </c>
    </row>
    <row r="11" spans="1:17" ht="82.8" x14ac:dyDescent="0.3">
      <c r="B11" s="78" t="s">
        <v>366</v>
      </c>
      <c r="C11" s="79" t="s">
        <v>343</v>
      </c>
      <c r="D11" s="79" t="s">
        <v>367</v>
      </c>
      <c r="E11" s="80">
        <v>249</v>
      </c>
      <c r="F11" s="79" t="s">
        <v>368</v>
      </c>
    </row>
    <row r="12" spans="1:17" ht="82.8" x14ac:dyDescent="0.3">
      <c r="B12" s="78" t="s">
        <v>369</v>
      </c>
      <c r="C12" s="79" t="s">
        <v>345</v>
      </c>
      <c r="D12" s="79"/>
      <c r="E12" s="80">
        <v>89</v>
      </c>
      <c r="F12" s="79" t="s">
        <v>370</v>
      </c>
    </row>
    <row r="13" spans="1:17" x14ac:dyDescent="0.3">
      <c r="E13" s="3"/>
    </row>
    <row r="14" spans="1:17" x14ac:dyDescent="0.3">
      <c r="E14" s="3"/>
    </row>
    <row r="15" spans="1:17" x14ac:dyDescent="0.3">
      <c r="E15" s="3"/>
    </row>
    <row r="16" spans="1:17" x14ac:dyDescent="0.3">
      <c r="E16" s="3"/>
    </row>
    <row r="17" spans="5:5" x14ac:dyDescent="0.3">
      <c r="E17" s="3"/>
    </row>
    <row r="18" spans="5:5" x14ac:dyDescent="0.3">
      <c r="E18" s="3"/>
    </row>
    <row r="19" spans="5:5" x14ac:dyDescent="0.3">
      <c r="E1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74"/>
  <sheetViews>
    <sheetView zoomScale="60" zoomScaleNormal="60" workbookViewId="0"/>
  </sheetViews>
  <sheetFormatPr defaultColWidth="47.33203125" defaultRowHeight="21" x14ac:dyDescent="0.4"/>
  <cols>
    <col min="1" max="1" width="10.33203125" style="281" bestFit="1" customWidth="1"/>
    <col min="2" max="2" width="50" style="281" bestFit="1" customWidth="1"/>
    <col min="3" max="3" width="47.33203125" style="281"/>
    <col min="4" max="4" width="5.88671875" style="281" bestFit="1" customWidth="1"/>
    <col min="5" max="5" width="9.77734375" style="281" bestFit="1" customWidth="1"/>
    <col min="6" max="6" width="17.88671875" style="281" bestFit="1" customWidth="1"/>
    <col min="7" max="7" width="14.21875" style="281" bestFit="1" customWidth="1"/>
    <col min="8" max="16384" width="47.33203125" style="281"/>
  </cols>
  <sheetData>
    <row r="1" spans="1:28" x14ac:dyDescent="0.4">
      <c r="B1" s="282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4"/>
      <c r="T1" s="285"/>
      <c r="U1" s="281" t="s">
        <v>102</v>
      </c>
    </row>
    <row r="2" spans="1:28" x14ac:dyDescent="0.4">
      <c r="B2" s="286"/>
      <c r="C2" s="287"/>
      <c r="D2" s="287"/>
      <c r="E2" s="287"/>
      <c r="F2" s="287" t="s">
        <v>108</v>
      </c>
      <c r="G2" s="288"/>
      <c r="J2" s="281" t="s">
        <v>1</v>
      </c>
      <c r="N2" s="281" t="s">
        <v>4</v>
      </c>
      <c r="O2" s="287" t="s">
        <v>177</v>
      </c>
      <c r="P2" s="287"/>
      <c r="Q2" s="287"/>
      <c r="R2" s="288"/>
      <c r="S2" s="289"/>
      <c r="U2" s="281" t="s">
        <v>2</v>
      </c>
      <c r="V2" s="281" t="s">
        <v>43</v>
      </c>
      <c r="W2" s="281" t="s">
        <v>44</v>
      </c>
    </row>
    <row r="3" spans="1:28" x14ac:dyDescent="0.4">
      <c r="A3" s="287" t="s">
        <v>121</v>
      </c>
      <c r="B3" s="286" t="s">
        <v>2</v>
      </c>
      <c r="C3" s="287" t="s">
        <v>202</v>
      </c>
      <c r="D3" s="287" t="s">
        <v>201</v>
      </c>
      <c r="E3" s="281" t="s">
        <v>3</v>
      </c>
      <c r="F3" s="281" t="s">
        <v>43</v>
      </c>
      <c r="G3" s="281" t="s">
        <v>44</v>
      </c>
      <c r="H3" s="281" t="s">
        <v>4</v>
      </c>
      <c r="J3" s="281" t="s">
        <v>2</v>
      </c>
      <c r="K3" s="281" t="s">
        <v>3</v>
      </c>
      <c r="L3" s="281" t="s">
        <v>4</v>
      </c>
      <c r="S3" s="289"/>
      <c r="AB3" s="281" t="s">
        <v>274</v>
      </c>
    </row>
    <row r="4" spans="1:28" x14ac:dyDescent="0.4">
      <c r="A4" s="290"/>
      <c r="B4" s="291" t="s">
        <v>169</v>
      </c>
      <c r="C4" s="292"/>
      <c r="D4" s="293"/>
      <c r="E4" s="293"/>
      <c r="F4" s="293"/>
      <c r="G4" s="294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6"/>
      <c r="AA4" s="297">
        <v>44015</v>
      </c>
      <c r="AB4" s="281">
        <v>7.4</v>
      </c>
    </row>
    <row r="5" spans="1:28" x14ac:dyDescent="0.4">
      <c r="A5" s="298"/>
      <c r="B5" s="299" t="s">
        <v>285</v>
      </c>
      <c r="C5" s="300"/>
      <c r="D5" s="301"/>
      <c r="E5" s="301"/>
      <c r="F5" s="301"/>
      <c r="G5" s="302"/>
      <c r="S5" s="289"/>
      <c r="AA5" s="297"/>
    </row>
    <row r="6" spans="1:28" x14ac:dyDescent="0.4">
      <c r="A6" s="303"/>
      <c r="B6" s="304" t="s">
        <v>171</v>
      </c>
      <c r="C6" s="305"/>
      <c r="D6" s="305"/>
      <c r="E6" s="305"/>
      <c r="F6" s="305"/>
      <c r="G6" s="306"/>
      <c r="S6" s="289"/>
      <c r="AA6" s="297">
        <v>44030</v>
      </c>
      <c r="AB6" s="281">
        <v>8.6999999999999993</v>
      </c>
    </row>
    <row r="7" spans="1:28" x14ac:dyDescent="0.4">
      <c r="A7" s="303"/>
      <c r="B7" s="307" t="s">
        <v>172</v>
      </c>
      <c r="C7" s="305"/>
      <c r="D7" s="305"/>
      <c r="E7" s="305"/>
      <c r="F7" s="305"/>
      <c r="G7" s="306"/>
      <c r="S7" s="289"/>
    </row>
    <row r="8" spans="1:28" x14ac:dyDescent="0.4">
      <c r="A8" s="303"/>
      <c r="B8" s="307" t="s">
        <v>173</v>
      </c>
      <c r="C8" s="305"/>
      <c r="D8" s="305"/>
      <c r="E8" s="305"/>
      <c r="F8" s="305"/>
      <c r="G8" s="306"/>
      <c r="S8" s="289"/>
    </row>
    <row r="9" spans="1:28" x14ac:dyDescent="0.4">
      <c r="A9" s="303"/>
      <c r="B9" s="307" t="s">
        <v>275</v>
      </c>
      <c r="C9" s="305"/>
      <c r="D9" s="305"/>
      <c r="E9" s="305"/>
      <c r="F9" s="305"/>
      <c r="G9" s="306"/>
      <c r="S9" s="289"/>
    </row>
    <row r="10" spans="1:28" x14ac:dyDescent="0.4">
      <c r="A10" s="303"/>
      <c r="B10" s="304" t="s">
        <v>176</v>
      </c>
      <c r="C10" s="305"/>
      <c r="D10" s="305"/>
      <c r="E10" s="305"/>
      <c r="F10" s="305"/>
      <c r="G10" s="306"/>
      <c r="S10" s="289"/>
    </row>
    <row r="11" spans="1:28" x14ac:dyDescent="0.4">
      <c r="A11" s="303"/>
      <c r="B11" s="304" t="s">
        <v>267</v>
      </c>
      <c r="C11" s="305"/>
      <c r="D11" s="305"/>
      <c r="E11" s="305"/>
      <c r="F11" s="305"/>
      <c r="G11" s="306"/>
      <c r="S11" s="289"/>
    </row>
    <row r="12" spans="1:28" x14ac:dyDescent="0.4">
      <c r="A12" s="303"/>
      <c r="B12" s="304" t="s">
        <v>263</v>
      </c>
      <c r="C12" s="305"/>
      <c r="D12" s="305"/>
      <c r="E12" s="305"/>
      <c r="F12" s="305"/>
      <c r="G12" s="306"/>
      <c r="S12" s="289"/>
    </row>
    <row r="13" spans="1:28" x14ac:dyDescent="0.4">
      <c r="A13" s="303"/>
      <c r="B13" s="304" t="s">
        <v>262</v>
      </c>
      <c r="C13" s="305"/>
      <c r="D13" s="305"/>
      <c r="E13" s="305"/>
      <c r="F13" s="305"/>
      <c r="G13" s="306"/>
      <c r="S13" s="289"/>
    </row>
    <row r="14" spans="1:28" x14ac:dyDescent="0.4">
      <c r="A14" s="303"/>
      <c r="B14" s="304" t="s">
        <v>261</v>
      </c>
      <c r="C14" s="305"/>
      <c r="D14" s="305"/>
      <c r="E14" s="305"/>
      <c r="F14" s="305"/>
      <c r="G14" s="306"/>
      <c r="S14" s="289"/>
    </row>
    <row r="15" spans="1:28" x14ac:dyDescent="0.4">
      <c r="A15" s="303"/>
      <c r="B15" s="304" t="s">
        <v>268</v>
      </c>
      <c r="C15" s="305"/>
      <c r="D15" s="305"/>
      <c r="E15" s="305"/>
      <c r="F15" s="305"/>
      <c r="G15" s="306"/>
      <c r="S15" s="289"/>
    </row>
    <row r="16" spans="1:28" x14ac:dyDescent="0.4">
      <c r="A16" s="303"/>
      <c r="B16" s="304" t="s">
        <v>269</v>
      </c>
      <c r="C16" s="305"/>
      <c r="D16" s="305"/>
      <c r="E16" s="305"/>
      <c r="F16" s="305"/>
      <c r="G16" s="306"/>
      <c r="S16" s="289"/>
    </row>
    <row r="17" spans="1:19" x14ac:dyDescent="0.4">
      <c r="A17" s="303"/>
      <c r="B17" s="307" t="s">
        <v>174</v>
      </c>
      <c r="C17" s="305"/>
      <c r="D17" s="305"/>
      <c r="E17" s="305"/>
      <c r="F17" s="305"/>
      <c r="G17" s="306"/>
      <c r="S17" s="289"/>
    </row>
    <row r="18" spans="1:19" x14ac:dyDescent="0.4">
      <c r="A18" s="303"/>
      <c r="B18" s="304" t="s">
        <v>170</v>
      </c>
      <c r="C18" s="305"/>
      <c r="D18" s="305"/>
      <c r="E18" s="305"/>
      <c r="F18" s="305"/>
      <c r="G18" s="306"/>
      <c r="S18" s="289"/>
    </row>
    <row r="19" spans="1:19" x14ac:dyDescent="0.4">
      <c r="A19" s="303"/>
      <c r="B19" s="304" t="s">
        <v>175</v>
      </c>
      <c r="C19" s="305"/>
      <c r="D19" s="305"/>
      <c r="E19" s="305"/>
      <c r="F19" s="305"/>
      <c r="G19" s="306"/>
      <c r="S19" s="289"/>
    </row>
    <row r="20" spans="1:19" x14ac:dyDescent="0.4">
      <c r="A20" s="303"/>
      <c r="B20" s="304" t="s">
        <v>264</v>
      </c>
      <c r="C20" s="305"/>
      <c r="D20" s="305"/>
      <c r="E20" s="305"/>
      <c r="F20" s="305"/>
      <c r="G20" s="306"/>
      <c r="S20" s="289"/>
    </row>
    <row r="21" spans="1:19" x14ac:dyDescent="0.4">
      <c r="A21" s="303"/>
      <c r="B21" s="304" t="s">
        <v>265</v>
      </c>
      <c r="C21" s="305"/>
      <c r="D21" s="305"/>
      <c r="E21" s="305"/>
      <c r="F21" s="305"/>
      <c r="G21" s="306"/>
      <c r="S21" s="289"/>
    </row>
    <row r="22" spans="1:19" x14ac:dyDescent="0.4">
      <c r="A22" s="303"/>
      <c r="B22" s="304" t="s">
        <v>266</v>
      </c>
      <c r="C22" s="305"/>
      <c r="D22" s="305"/>
      <c r="E22" s="305"/>
      <c r="F22" s="305"/>
      <c r="G22" s="306"/>
      <c r="S22" s="289"/>
    </row>
    <row r="23" spans="1:19" x14ac:dyDescent="0.4">
      <c r="A23" s="303"/>
      <c r="B23" s="308" t="s">
        <v>335</v>
      </c>
      <c r="C23" s="309"/>
      <c r="D23" s="305"/>
      <c r="E23" s="305"/>
      <c r="F23" s="305"/>
      <c r="G23" s="306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6"/>
    </row>
    <row r="24" spans="1:19" x14ac:dyDescent="0.4">
      <c r="A24" s="303"/>
      <c r="B24" s="304" t="s">
        <v>165</v>
      </c>
      <c r="C24" s="305"/>
      <c r="D24" s="305"/>
      <c r="E24" s="305"/>
      <c r="F24" s="305"/>
      <c r="G24" s="306"/>
      <c r="S24" s="289"/>
    </row>
    <row r="25" spans="1:19" x14ac:dyDescent="0.4">
      <c r="A25" s="303"/>
      <c r="B25" s="304" t="s">
        <v>323</v>
      </c>
      <c r="C25" s="305"/>
      <c r="D25" s="305"/>
      <c r="E25" s="305"/>
      <c r="F25" s="305"/>
      <c r="G25" s="306"/>
      <c r="S25" s="289"/>
    </row>
    <row r="26" spans="1:19" x14ac:dyDescent="0.4">
      <c r="A26" s="303"/>
      <c r="B26" s="304" t="s">
        <v>40</v>
      </c>
      <c r="C26" s="305"/>
      <c r="D26" s="305"/>
      <c r="E26" s="310">
        <f>135*0.88</f>
        <v>118.8</v>
      </c>
      <c r="F26" s="305">
        <v>48.7</v>
      </c>
      <c r="G26" s="311">
        <f>F26/16</f>
        <v>3.0437500000000002</v>
      </c>
      <c r="P26" s="312"/>
      <c r="R26" s="313"/>
      <c r="S26" s="289"/>
    </row>
    <row r="27" spans="1:19" x14ac:dyDescent="0.4">
      <c r="A27" s="303"/>
      <c r="B27" s="304" t="s">
        <v>64</v>
      </c>
      <c r="C27" s="305"/>
      <c r="D27" s="305"/>
      <c r="E27" s="310">
        <f>199*0.88</f>
        <v>175.12</v>
      </c>
      <c r="F27" s="314">
        <v>50.7</v>
      </c>
      <c r="G27" s="311">
        <f>F27/16</f>
        <v>3.1687500000000002</v>
      </c>
      <c r="R27" s="313"/>
      <c r="S27" s="289"/>
    </row>
    <row r="28" spans="1:19" x14ac:dyDescent="0.4">
      <c r="A28" s="303"/>
      <c r="B28" s="304" t="s">
        <v>76</v>
      </c>
      <c r="C28" s="305"/>
      <c r="D28" s="305"/>
      <c r="E28" s="310">
        <f>44*0.88</f>
        <v>38.72</v>
      </c>
      <c r="F28" s="314">
        <v>5.9</v>
      </c>
      <c r="G28" s="311">
        <f>F28/16</f>
        <v>0.36875000000000002</v>
      </c>
      <c r="P28" s="312"/>
      <c r="R28" s="313"/>
      <c r="S28" s="289"/>
    </row>
    <row r="29" spans="1:19" x14ac:dyDescent="0.4">
      <c r="A29" s="303"/>
      <c r="B29" s="304" t="s">
        <v>77</v>
      </c>
      <c r="C29" s="305"/>
      <c r="D29" s="305"/>
      <c r="E29" s="310">
        <f>19*0.88</f>
        <v>16.72</v>
      </c>
      <c r="F29" s="314">
        <f>0.8*2</f>
        <v>1.6</v>
      </c>
      <c r="G29" s="311">
        <f>F29/16</f>
        <v>0.1</v>
      </c>
      <c r="P29" s="312"/>
      <c r="R29" s="313"/>
      <c r="S29" s="289"/>
    </row>
    <row r="30" spans="1:19" x14ac:dyDescent="0.4">
      <c r="A30" s="303"/>
      <c r="B30" s="304" t="s">
        <v>207</v>
      </c>
      <c r="C30" s="305" t="s">
        <v>84</v>
      </c>
      <c r="D30" s="305">
        <v>1</v>
      </c>
      <c r="E30" s="310">
        <v>34</v>
      </c>
      <c r="F30" s="314">
        <v>5.9</v>
      </c>
      <c r="G30" s="311">
        <f>F30/16</f>
        <v>0.36875000000000002</v>
      </c>
      <c r="P30" s="312"/>
      <c r="R30" s="313"/>
      <c r="S30" s="289"/>
    </row>
    <row r="31" spans="1:19" x14ac:dyDescent="0.4">
      <c r="A31" s="303"/>
      <c r="B31" s="304" t="s">
        <v>208</v>
      </c>
      <c r="C31" s="305"/>
      <c r="D31" s="305">
        <v>1</v>
      </c>
      <c r="E31" s="310"/>
      <c r="F31" s="314"/>
      <c r="G31" s="311">
        <f t="shared" ref="G31:G94" si="0">F31/16</f>
        <v>0</v>
      </c>
      <c r="P31" s="312"/>
      <c r="R31" s="313"/>
      <c r="S31" s="289"/>
    </row>
    <row r="32" spans="1:19" x14ac:dyDescent="0.4">
      <c r="A32" s="303"/>
      <c r="B32" s="304" t="s">
        <v>244</v>
      </c>
      <c r="C32" s="305"/>
      <c r="D32" s="305">
        <v>1</v>
      </c>
      <c r="E32" s="310"/>
      <c r="F32" s="314"/>
      <c r="G32" s="311">
        <f t="shared" si="0"/>
        <v>0</v>
      </c>
      <c r="P32" s="312"/>
      <c r="R32" s="313"/>
      <c r="S32" s="289"/>
    </row>
    <row r="33" spans="1:19" x14ac:dyDescent="0.4">
      <c r="A33" s="303"/>
      <c r="B33" s="307" t="s">
        <v>245</v>
      </c>
      <c r="C33" s="305" t="s">
        <v>246</v>
      </c>
      <c r="D33" s="305">
        <v>1</v>
      </c>
      <c r="E33" s="315">
        <v>21</v>
      </c>
      <c r="F33" s="305">
        <v>5.2</v>
      </c>
      <c r="G33" s="311">
        <f t="shared" si="0"/>
        <v>0.32500000000000001</v>
      </c>
      <c r="K33" s="316"/>
      <c r="O33" s="287" t="s">
        <v>177</v>
      </c>
      <c r="S33" s="289"/>
    </row>
    <row r="34" spans="1:19" x14ac:dyDescent="0.4">
      <c r="A34" s="303"/>
      <c r="B34" s="304" t="s">
        <v>216</v>
      </c>
      <c r="C34" s="305" t="s">
        <v>111</v>
      </c>
      <c r="D34" s="305">
        <v>1</v>
      </c>
      <c r="E34" s="315">
        <v>258</v>
      </c>
      <c r="F34" s="305">
        <v>30.6</v>
      </c>
      <c r="G34" s="311">
        <f t="shared" si="0"/>
        <v>1.9125000000000001</v>
      </c>
      <c r="K34" s="316"/>
      <c r="S34" s="289"/>
    </row>
    <row r="35" spans="1:19" x14ac:dyDescent="0.4">
      <c r="A35" s="303"/>
      <c r="B35" s="304" t="s">
        <v>217</v>
      </c>
      <c r="C35" s="305" t="s">
        <v>71</v>
      </c>
      <c r="D35" s="305">
        <v>1</v>
      </c>
      <c r="E35" s="315">
        <v>35.89</v>
      </c>
      <c r="F35" s="305">
        <v>4</v>
      </c>
      <c r="G35" s="311">
        <f t="shared" si="0"/>
        <v>0.25</v>
      </c>
      <c r="K35" s="316"/>
      <c r="M35" s="281" t="s">
        <v>122</v>
      </c>
      <c r="P35" s="317"/>
      <c r="Q35" s="318"/>
      <c r="R35" s="318"/>
      <c r="S35" s="319"/>
    </row>
    <row r="36" spans="1:19" x14ac:dyDescent="0.4">
      <c r="A36" s="303"/>
      <c r="B36" s="304" t="s">
        <v>218</v>
      </c>
      <c r="C36" s="305" t="s">
        <v>75</v>
      </c>
      <c r="D36" s="305">
        <v>1</v>
      </c>
      <c r="E36" s="315">
        <v>143.96</v>
      </c>
      <c r="F36" s="305">
        <v>21</v>
      </c>
      <c r="G36" s="311">
        <f t="shared" si="0"/>
        <v>1.3125</v>
      </c>
      <c r="K36" s="316"/>
      <c r="M36" s="281" t="s">
        <v>122</v>
      </c>
      <c r="S36" s="289"/>
    </row>
    <row r="37" spans="1:19" x14ac:dyDescent="0.4">
      <c r="A37" s="303"/>
      <c r="B37" s="304" t="s">
        <v>219</v>
      </c>
      <c r="C37" s="305" t="s">
        <v>69</v>
      </c>
      <c r="D37" s="305">
        <v>1</v>
      </c>
      <c r="E37" s="315">
        <v>49.95</v>
      </c>
      <c r="F37" s="305">
        <v>7.4</v>
      </c>
      <c r="G37" s="311">
        <f t="shared" si="0"/>
        <v>0.46250000000000002</v>
      </c>
      <c r="K37" s="316"/>
      <c r="M37" s="281" t="s">
        <v>122</v>
      </c>
      <c r="S37" s="289"/>
    </row>
    <row r="38" spans="1:19" x14ac:dyDescent="0.4">
      <c r="A38" s="303"/>
      <c r="B38" s="304" t="s">
        <v>255</v>
      </c>
      <c r="C38" s="305" t="s">
        <v>258</v>
      </c>
      <c r="D38" s="305"/>
      <c r="E38" s="315"/>
      <c r="F38" s="305"/>
      <c r="G38" s="311">
        <f t="shared" si="0"/>
        <v>0</v>
      </c>
      <c r="K38" s="316"/>
      <c r="S38" s="289"/>
    </row>
    <row r="39" spans="1:19" x14ac:dyDescent="0.4">
      <c r="A39" s="303"/>
      <c r="B39" s="304" t="s">
        <v>256</v>
      </c>
      <c r="C39" s="305" t="s">
        <v>69</v>
      </c>
      <c r="D39" s="305"/>
      <c r="E39" s="315"/>
      <c r="F39" s="305"/>
      <c r="G39" s="311">
        <f t="shared" si="0"/>
        <v>0</v>
      </c>
      <c r="K39" s="316"/>
      <c r="S39" s="289"/>
    </row>
    <row r="40" spans="1:19" x14ac:dyDescent="0.4">
      <c r="A40" s="303"/>
      <c r="B40" s="307" t="s">
        <v>184</v>
      </c>
      <c r="C40" s="305" t="s">
        <v>148</v>
      </c>
      <c r="D40" s="305"/>
      <c r="E40" s="315"/>
      <c r="F40" s="305"/>
      <c r="G40" s="311">
        <f t="shared" si="0"/>
        <v>0</v>
      </c>
      <c r="K40" s="316"/>
      <c r="O40" s="281" t="s">
        <v>324</v>
      </c>
      <c r="S40" s="289"/>
    </row>
    <row r="41" spans="1:19" x14ac:dyDescent="0.4">
      <c r="A41" s="303"/>
      <c r="B41" s="304" t="s">
        <v>220</v>
      </c>
      <c r="C41" s="305" t="s">
        <v>124</v>
      </c>
      <c r="D41" s="305"/>
      <c r="E41" s="305"/>
      <c r="F41" s="305">
        <f ca="1">G41*16</f>
        <v>104</v>
      </c>
      <c r="G41" s="311">
        <f t="shared" ca="1" si="0"/>
        <v>0.36875000000000002</v>
      </c>
      <c r="S41" s="289"/>
    </row>
    <row r="42" spans="1:19" x14ac:dyDescent="0.4">
      <c r="A42" s="303"/>
      <c r="B42" s="304" t="s">
        <v>221</v>
      </c>
      <c r="C42" s="305" t="s">
        <v>126</v>
      </c>
      <c r="D42" s="305"/>
      <c r="E42" s="305"/>
      <c r="F42" s="305">
        <v>15.9</v>
      </c>
      <c r="G42" s="311">
        <f t="shared" si="0"/>
        <v>0.99375000000000002</v>
      </c>
      <c r="S42" s="289"/>
    </row>
    <row r="43" spans="1:19" x14ac:dyDescent="0.4">
      <c r="A43" s="303"/>
      <c r="B43" s="307" t="s">
        <v>222</v>
      </c>
      <c r="C43" s="305" t="s">
        <v>166</v>
      </c>
      <c r="D43" s="305"/>
      <c r="E43" s="305"/>
      <c r="F43" s="305" t="s">
        <v>167</v>
      </c>
      <c r="G43" s="311" t="e">
        <f t="shared" si="0"/>
        <v>#VALUE!</v>
      </c>
      <c r="S43" s="289"/>
    </row>
    <row r="44" spans="1:19" x14ac:dyDescent="0.4">
      <c r="A44" s="303"/>
      <c r="B44" s="304" t="s">
        <v>146</v>
      </c>
      <c r="C44" s="305"/>
      <c r="D44" s="305"/>
      <c r="E44" s="305"/>
      <c r="F44" s="305"/>
      <c r="G44" s="311">
        <f t="shared" si="0"/>
        <v>0</v>
      </c>
      <c r="S44" s="289"/>
    </row>
    <row r="45" spans="1:19" x14ac:dyDescent="0.4">
      <c r="A45" s="303"/>
      <c r="B45" s="304" t="s">
        <v>178</v>
      </c>
      <c r="C45" s="305"/>
      <c r="D45" s="305"/>
      <c r="E45" s="305"/>
      <c r="F45" s="305"/>
      <c r="G45" s="311">
        <f t="shared" si="0"/>
        <v>0</v>
      </c>
      <c r="S45" s="289"/>
    </row>
    <row r="46" spans="1:19" x14ac:dyDescent="0.4">
      <c r="A46" s="303"/>
      <c r="B46" s="304" t="s">
        <v>145</v>
      </c>
      <c r="C46" s="305"/>
      <c r="D46" s="305"/>
      <c r="E46" s="305"/>
      <c r="F46" s="305">
        <f ca="1">G46*16</f>
        <v>8</v>
      </c>
      <c r="G46" s="311">
        <f t="shared" ca="1" si="0"/>
        <v>0.36875000000000002</v>
      </c>
      <c r="S46" s="289"/>
    </row>
    <row r="47" spans="1:19" x14ac:dyDescent="0.4">
      <c r="A47" s="303"/>
      <c r="B47" s="304" t="s">
        <v>134</v>
      </c>
      <c r="C47" s="305" t="s">
        <v>223</v>
      </c>
      <c r="D47" s="305"/>
      <c r="E47" s="315">
        <v>151</v>
      </c>
      <c r="F47" s="305">
        <v>15.9</v>
      </c>
      <c r="G47" s="311">
        <f t="shared" si="0"/>
        <v>0.99375000000000002</v>
      </c>
      <c r="K47" s="316"/>
      <c r="P47" s="312"/>
      <c r="R47" s="313"/>
      <c r="S47" s="289"/>
    </row>
    <row r="48" spans="1:19" x14ac:dyDescent="0.4">
      <c r="A48" s="303"/>
      <c r="B48" s="304" t="s">
        <v>329</v>
      </c>
      <c r="C48" s="305"/>
      <c r="D48" s="305">
        <v>4</v>
      </c>
      <c r="E48" s="305"/>
      <c r="F48" s="305"/>
      <c r="G48" s="311">
        <f t="shared" si="0"/>
        <v>0</v>
      </c>
      <c r="S48" s="289"/>
    </row>
    <row r="49" spans="1:19" x14ac:dyDescent="0.4">
      <c r="A49" s="303"/>
      <c r="B49" s="304" t="s">
        <v>328</v>
      </c>
      <c r="C49" s="305"/>
      <c r="D49" s="305">
        <v>4</v>
      </c>
      <c r="E49" s="305"/>
      <c r="F49" s="305">
        <v>0.7</v>
      </c>
      <c r="G49" s="311">
        <f t="shared" si="0"/>
        <v>4.3749999999999997E-2</v>
      </c>
      <c r="O49" s="281" t="s">
        <v>177</v>
      </c>
      <c r="S49" s="289"/>
    </row>
    <row r="50" spans="1:19" x14ac:dyDescent="0.4">
      <c r="A50" s="303"/>
      <c r="B50" s="304" t="s">
        <v>330</v>
      </c>
      <c r="C50" s="305"/>
      <c r="D50" s="305">
        <v>4</v>
      </c>
      <c r="E50" s="305"/>
      <c r="F50" s="305"/>
      <c r="G50" s="311"/>
      <c r="S50" s="289"/>
    </row>
    <row r="51" spans="1:19" x14ac:dyDescent="0.4">
      <c r="A51" s="303"/>
      <c r="B51" s="304" t="s">
        <v>229</v>
      </c>
      <c r="C51" s="305" t="s">
        <v>65</v>
      </c>
      <c r="D51" s="305"/>
      <c r="E51" s="315">
        <v>144</v>
      </c>
      <c r="F51" s="305">
        <v>14</v>
      </c>
      <c r="G51" s="311">
        <f t="shared" si="0"/>
        <v>0.875</v>
      </c>
      <c r="P51" s="312"/>
      <c r="R51" s="313"/>
      <c r="S51" s="289"/>
    </row>
    <row r="52" spans="1:19" x14ac:dyDescent="0.4">
      <c r="A52" s="303"/>
      <c r="B52" s="304" t="s">
        <v>230</v>
      </c>
      <c r="C52" s="305" t="s">
        <v>276</v>
      </c>
      <c r="D52" s="305">
        <v>1</v>
      </c>
      <c r="E52" s="315">
        <v>4.95</v>
      </c>
      <c r="F52" s="305">
        <v>13.4</v>
      </c>
      <c r="G52" s="311">
        <f t="shared" si="0"/>
        <v>0.83750000000000002</v>
      </c>
      <c r="N52" s="281" t="s">
        <v>224</v>
      </c>
      <c r="O52" s="281" t="s">
        <v>177</v>
      </c>
      <c r="S52" s="289"/>
    </row>
    <row r="53" spans="1:19" x14ac:dyDescent="0.4">
      <c r="A53" s="303"/>
      <c r="B53" s="304" t="s">
        <v>254</v>
      </c>
      <c r="C53" s="305"/>
      <c r="D53" s="305"/>
      <c r="E53" s="315"/>
      <c r="F53" s="305"/>
      <c r="G53" s="311">
        <f t="shared" si="0"/>
        <v>0</v>
      </c>
      <c r="P53" s="317"/>
      <c r="Q53" s="318"/>
      <c r="R53" s="318"/>
      <c r="S53" s="319"/>
    </row>
    <row r="54" spans="1:19" x14ac:dyDescent="0.4">
      <c r="A54" s="303"/>
      <c r="B54" s="304" t="s">
        <v>225</v>
      </c>
      <c r="C54" s="305" t="s">
        <v>226</v>
      </c>
      <c r="D54" s="305"/>
      <c r="E54" s="315">
        <v>8.9499999999999993</v>
      </c>
      <c r="F54" s="305">
        <v>0.63</v>
      </c>
      <c r="G54" s="311">
        <f t="shared" si="0"/>
        <v>3.9375E-2</v>
      </c>
      <c r="K54" s="316"/>
      <c r="O54" s="320"/>
      <c r="P54" s="320"/>
      <c r="R54" s="313"/>
      <c r="S54" s="289"/>
    </row>
    <row r="55" spans="1:19" x14ac:dyDescent="0.4">
      <c r="A55" s="303"/>
      <c r="B55" s="304" t="s">
        <v>271</v>
      </c>
      <c r="C55" s="305"/>
      <c r="D55" s="305"/>
      <c r="E55" s="315"/>
      <c r="F55" s="305"/>
      <c r="G55" s="311">
        <f t="shared" si="0"/>
        <v>0</v>
      </c>
      <c r="K55" s="316"/>
      <c r="O55" s="320"/>
      <c r="P55" s="320"/>
      <c r="R55" s="313"/>
      <c r="S55" s="289"/>
    </row>
    <row r="56" spans="1:19" x14ac:dyDescent="0.4">
      <c r="A56" s="303"/>
      <c r="B56" s="304" t="s">
        <v>227</v>
      </c>
      <c r="C56" s="305" t="s">
        <v>228</v>
      </c>
      <c r="D56" s="305"/>
      <c r="E56" s="315">
        <v>19.95</v>
      </c>
      <c r="F56" s="305">
        <v>2.7</v>
      </c>
      <c r="G56" s="311">
        <f t="shared" si="0"/>
        <v>0.16875000000000001</v>
      </c>
      <c r="K56" s="316"/>
      <c r="O56" s="320"/>
      <c r="P56" s="320"/>
      <c r="R56" s="313"/>
      <c r="S56" s="289"/>
    </row>
    <row r="57" spans="1:19" x14ac:dyDescent="0.4">
      <c r="A57" s="303"/>
      <c r="B57" s="304" t="s">
        <v>135</v>
      </c>
      <c r="C57" s="305"/>
      <c r="D57" s="305"/>
      <c r="E57" s="315"/>
      <c r="F57" s="305"/>
      <c r="G57" s="311">
        <f t="shared" si="0"/>
        <v>0</v>
      </c>
      <c r="K57" s="316"/>
      <c r="R57" s="313"/>
      <c r="S57" s="289"/>
    </row>
    <row r="58" spans="1:19" x14ac:dyDescent="0.4">
      <c r="A58" s="303"/>
      <c r="B58" s="304" t="s">
        <v>147</v>
      </c>
      <c r="C58" s="305"/>
      <c r="D58" s="305"/>
      <c r="E58" s="315"/>
      <c r="F58" s="305"/>
      <c r="G58" s="311">
        <f t="shared" si="0"/>
        <v>0</v>
      </c>
      <c r="K58" s="316"/>
      <c r="N58" s="281" t="s">
        <v>182</v>
      </c>
      <c r="P58" s="312"/>
      <c r="R58" s="313"/>
      <c r="S58" s="289"/>
    </row>
    <row r="59" spans="1:19" x14ac:dyDescent="0.4">
      <c r="A59" s="303"/>
      <c r="B59" s="304" t="s">
        <v>183</v>
      </c>
      <c r="C59" s="305"/>
      <c r="D59" s="305"/>
      <c r="E59" s="315"/>
      <c r="F59" s="305"/>
      <c r="G59" s="311">
        <f t="shared" si="0"/>
        <v>0</v>
      </c>
      <c r="K59" s="316"/>
      <c r="P59" s="312"/>
      <c r="R59" s="313"/>
      <c r="S59" s="289"/>
    </row>
    <row r="60" spans="1:19" x14ac:dyDescent="0.4">
      <c r="A60" s="303"/>
      <c r="B60" s="304" t="s">
        <v>68</v>
      </c>
      <c r="C60" s="305"/>
      <c r="D60" s="305"/>
      <c r="E60" s="315">
        <v>299</v>
      </c>
      <c r="F60" s="305">
        <v>3.5</v>
      </c>
      <c r="G60" s="311">
        <f t="shared" si="0"/>
        <v>0.21875</v>
      </c>
      <c r="S60" s="289"/>
    </row>
    <row r="61" spans="1:19" x14ac:dyDescent="0.4">
      <c r="A61" s="303"/>
      <c r="B61" s="307" t="s">
        <v>72</v>
      </c>
      <c r="C61" s="305"/>
      <c r="D61" s="305"/>
      <c r="E61" s="315">
        <v>5</v>
      </c>
      <c r="F61" s="305">
        <v>4</v>
      </c>
      <c r="G61" s="311">
        <f t="shared" si="0"/>
        <v>0.25</v>
      </c>
      <c r="S61" s="289"/>
    </row>
    <row r="62" spans="1:19" x14ac:dyDescent="0.4">
      <c r="A62" s="303"/>
      <c r="B62" s="304" t="s">
        <v>83</v>
      </c>
      <c r="C62" s="305"/>
      <c r="D62" s="305"/>
      <c r="E62" s="315">
        <v>59.89</v>
      </c>
      <c r="F62" s="305">
        <v>5</v>
      </c>
      <c r="G62" s="311">
        <f t="shared" si="0"/>
        <v>0.3125</v>
      </c>
      <c r="S62" s="289"/>
    </row>
    <row r="63" spans="1:19" x14ac:dyDescent="0.4">
      <c r="A63" s="303"/>
      <c r="B63" s="304" t="s">
        <v>277</v>
      </c>
      <c r="C63" s="305"/>
      <c r="D63" s="305"/>
      <c r="E63" s="315">
        <v>4.95</v>
      </c>
      <c r="F63" s="305"/>
      <c r="G63" s="311">
        <f t="shared" si="0"/>
        <v>0</v>
      </c>
      <c r="K63" s="316"/>
      <c r="M63" s="281" t="s">
        <v>122</v>
      </c>
      <c r="S63" s="289"/>
    </row>
    <row r="64" spans="1:19" x14ac:dyDescent="0.4">
      <c r="A64" s="303"/>
      <c r="B64" s="304" t="s">
        <v>139</v>
      </c>
      <c r="C64" s="305"/>
      <c r="D64" s="305"/>
      <c r="E64" s="315"/>
      <c r="F64" s="305"/>
      <c r="G64" s="311">
        <f t="shared" si="0"/>
        <v>0</v>
      </c>
      <c r="S64" s="289"/>
    </row>
    <row r="65" spans="1:19" x14ac:dyDescent="0.4">
      <c r="A65" s="303"/>
      <c r="B65" s="304" t="s">
        <v>181</v>
      </c>
      <c r="C65" s="305"/>
      <c r="D65" s="305">
        <v>2</v>
      </c>
      <c r="E65" s="315"/>
      <c r="F65" s="305"/>
      <c r="G65" s="311">
        <f t="shared" si="0"/>
        <v>0</v>
      </c>
      <c r="S65" s="289"/>
    </row>
    <row r="66" spans="1:19" x14ac:dyDescent="0.4">
      <c r="A66" s="303"/>
      <c r="B66" s="304" t="s">
        <v>180</v>
      </c>
      <c r="C66" s="305"/>
      <c r="D66" s="305"/>
      <c r="E66" s="315"/>
      <c r="F66" s="305"/>
      <c r="G66" s="311">
        <f t="shared" si="0"/>
        <v>0</v>
      </c>
      <c r="O66" s="281" t="s">
        <v>177</v>
      </c>
      <c r="S66" s="289"/>
    </row>
    <row r="67" spans="1:19" x14ac:dyDescent="0.4">
      <c r="A67" s="303"/>
      <c r="B67" s="304" t="s">
        <v>142</v>
      </c>
      <c r="C67" s="305"/>
      <c r="D67" s="305"/>
      <c r="E67" s="315"/>
      <c r="F67" s="305"/>
      <c r="G67" s="311">
        <f t="shared" si="0"/>
        <v>0</v>
      </c>
      <c r="S67" s="289"/>
    </row>
    <row r="68" spans="1:19" x14ac:dyDescent="0.4">
      <c r="A68" s="303"/>
      <c r="B68" s="304" t="s">
        <v>143</v>
      </c>
      <c r="C68" s="305"/>
      <c r="D68" s="305">
        <v>4</v>
      </c>
      <c r="E68" s="315"/>
      <c r="F68" s="305"/>
      <c r="G68" s="311">
        <f t="shared" si="0"/>
        <v>0</v>
      </c>
      <c r="S68" s="289"/>
    </row>
    <row r="69" spans="1:19" x14ac:dyDescent="0.4">
      <c r="A69" s="303"/>
      <c r="B69" s="304" t="s">
        <v>144</v>
      </c>
      <c r="C69" s="305"/>
      <c r="D69" s="305"/>
      <c r="E69" s="315"/>
      <c r="F69" s="305"/>
      <c r="G69" s="311">
        <f t="shared" si="0"/>
        <v>0</v>
      </c>
      <c r="S69" s="289"/>
    </row>
    <row r="70" spans="1:19" x14ac:dyDescent="0.4">
      <c r="A70" s="303"/>
      <c r="B70" s="304" t="s">
        <v>120</v>
      </c>
      <c r="C70" s="305"/>
      <c r="D70" s="305"/>
      <c r="E70" s="315"/>
      <c r="F70" s="305"/>
      <c r="G70" s="311">
        <f t="shared" si="0"/>
        <v>0</v>
      </c>
      <c r="S70" s="289"/>
    </row>
    <row r="71" spans="1:19" x14ac:dyDescent="0.4">
      <c r="A71" s="303"/>
      <c r="B71" s="304" t="s">
        <v>140</v>
      </c>
      <c r="C71" s="305"/>
      <c r="D71" s="305">
        <v>20</v>
      </c>
      <c r="E71" s="315"/>
      <c r="F71" s="305"/>
      <c r="G71" s="311">
        <f t="shared" si="0"/>
        <v>0</v>
      </c>
      <c r="S71" s="289"/>
    </row>
    <row r="72" spans="1:19" x14ac:dyDescent="0.4">
      <c r="A72" s="303"/>
      <c r="B72" s="304" t="s">
        <v>204</v>
      </c>
      <c r="C72" s="305"/>
      <c r="D72" s="305"/>
      <c r="E72" s="315"/>
      <c r="F72" s="305"/>
      <c r="G72" s="311">
        <f t="shared" si="0"/>
        <v>0</v>
      </c>
      <c r="S72" s="289"/>
    </row>
    <row r="73" spans="1:19" x14ac:dyDescent="0.4">
      <c r="A73" s="303"/>
      <c r="B73" s="304" t="s">
        <v>231</v>
      </c>
      <c r="C73" s="305"/>
      <c r="D73" s="305"/>
      <c r="E73" s="315"/>
      <c r="F73" s="305"/>
      <c r="G73" s="311">
        <f t="shared" si="0"/>
        <v>0</v>
      </c>
      <c r="S73" s="289"/>
    </row>
    <row r="74" spans="1:19" x14ac:dyDescent="0.4">
      <c r="A74" s="303"/>
      <c r="B74" s="307" t="s">
        <v>205</v>
      </c>
      <c r="C74" s="305"/>
      <c r="D74" s="305"/>
      <c r="E74" s="315"/>
      <c r="F74" s="305"/>
      <c r="G74" s="311">
        <f t="shared" si="0"/>
        <v>0</v>
      </c>
      <c r="S74" s="289"/>
    </row>
    <row r="75" spans="1:19" x14ac:dyDescent="0.4">
      <c r="A75" s="303"/>
      <c r="B75" s="304" t="s">
        <v>198</v>
      </c>
      <c r="C75" s="305"/>
      <c r="D75" s="305"/>
      <c r="E75" s="315"/>
      <c r="F75" s="305"/>
      <c r="G75" s="311">
        <f t="shared" si="0"/>
        <v>0</v>
      </c>
      <c r="S75" s="289"/>
    </row>
    <row r="76" spans="1:19" x14ac:dyDescent="0.4">
      <c r="A76" s="303"/>
      <c r="B76" s="304" t="s">
        <v>206</v>
      </c>
      <c r="C76" s="305"/>
      <c r="D76" s="305"/>
      <c r="E76" s="305"/>
      <c r="F76" s="305"/>
      <c r="G76" s="311">
        <f t="shared" si="0"/>
        <v>0</v>
      </c>
      <c r="S76" s="289"/>
    </row>
    <row r="77" spans="1:19" x14ac:dyDescent="0.4">
      <c r="A77" s="303"/>
      <c r="B77" s="304" t="s">
        <v>209</v>
      </c>
      <c r="C77" s="305"/>
      <c r="D77" s="305"/>
      <c r="E77" s="305"/>
      <c r="F77" s="305"/>
      <c r="G77" s="311">
        <f t="shared" si="0"/>
        <v>0</v>
      </c>
      <c r="S77" s="289"/>
    </row>
    <row r="78" spans="1:19" x14ac:dyDescent="0.4">
      <c r="A78" s="303"/>
      <c r="B78" s="304" t="s">
        <v>5</v>
      </c>
      <c r="C78" s="305" t="s">
        <v>85</v>
      </c>
      <c r="D78" s="305"/>
      <c r="E78" s="315">
        <v>50</v>
      </c>
      <c r="F78" s="305">
        <v>4.2</v>
      </c>
      <c r="G78" s="311">
        <f t="shared" si="0"/>
        <v>0.26250000000000001</v>
      </c>
      <c r="S78" s="289"/>
    </row>
    <row r="79" spans="1:19" x14ac:dyDescent="0.4">
      <c r="A79" s="303"/>
      <c r="B79" s="304" t="s">
        <v>162</v>
      </c>
      <c r="C79" s="305" t="s">
        <v>278</v>
      </c>
      <c r="D79" s="305"/>
      <c r="E79" s="315">
        <v>80</v>
      </c>
      <c r="F79" s="305">
        <v>10</v>
      </c>
      <c r="G79" s="311">
        <f t="shared" si="0"/>
        <v>0.625</v>
      </c>
      <c r="S79" s="289"/>
    </row>
    <row r="80" spans="1:19" x14ac:dyDescent="0.4">
      <c r="A80" s="303"/>
      <c r="B80" s="321" t="s">
        <v>250</v>
      </c>
      <c r="C80" s="322" t="s">
        <v>251</v>
      </c>
      <c r="D80" s="322">
        <v>5</v>
      </c>
      <c r="E80" s="323">
        <v>100</v>
      </c>
      <c r="F80" s="322"/>
      <c r="G80" s="311">
        <f t="shared" si="0"/>
        <v>0</v>
      </c>
      <c r="O80" s="324"/>
      <c r="P80" s="324"/>
      <c r="Q80" s="324"/>
      <c r="R80" s="324"/>
      <c r="S80" s="325"/>
    </row>
    <row r="81" spans="1:19" x14ac:dyDescent="0.4">
      <c r="A81" s="303"/>
      <c r="B81" s="326" t="s">
        <v>187</v>
      </c>
      <c r="C81" s="327"/>
      <c r="D81" s="293"/>
      <c r="E81" s="328"/>
      <c r="F81" s="293"/>
      <c r="G81" s="311">
        <f t="shared" si="0"/>
        <v>0</v>
      </c>
      <c r="H81" s="295"/>
      <c r="I81" s="295"/>
      <c r="J81" s="295"/>
      <c r="K81" s="295"/>
      <c r="L81" s="295"/>
      <c r="M81" s="295"/>
      <c r="N81" s="296"/>
      <c r="O81" s="295"/>
      <c r="P81" s="295"/>
      <c r="Q81" s="295"/>
      <c r="R81" s="295"/>
      <c r="S81" s="296"/>
    </row>
    <row r="82" spans="1:19" x14ac:dyDescent="0.4">
      <c r="A82" s="303"/>
      <c r="B82" s="329" t="s">
        <v>189</v>
      </c>
      <c r="C82" s="330" t="s">
        <v>333</v>
      </c>
      <c r="D82" s="305">
        <v>1</v>
      </c>
      <c r="E82" s="315">
        <v>170</v>
      </c>
      <c r="F82" s="305">
        <f ca="1">G82*16</f>
        <v>63.36</v>
      </c>
      <c r="G82" s="311">
        <f t="shared" ca="1" si="0"/>
        <v>0.36875000000000002</v>
      </c>
      <c r="N82" s="289"/>
      <c r="S82" s="289"/>
    </row>
    <row r="83" spans="1:19" x14ac:dyDescent="0.4">
      <c r="A83" s="303"/>
      <c r="B83" s="329" t="s">
        <v>190</v>
      </c>
      <c r="C83" s="330" t="s">
        <v>235</v>
      </c>
      <c r="D83" s="305">
        <v>1</v>
      </c>
      <c r="E83" s="315">
        <v>55</v>
      </c>
      <c r="F83" s="305"/>
      <c r="G83" s="311">
        <f t="shared" si="0"/>
        <v>0</v>
      </c>
      <c r="N83" s="289"/>
      <c r="S83" s="289"/>
    </row>
    <row r="84" spans="1:19" x14ac:dyDescent="0.4">
      <c r="A84" s="303"/>
      <c r="B84" s="329" t="s">
        <v>191</v>
      </c>
      <c r="C84" s="330" t="s">
        <v>273</v>
      </c>
      <c r="D84" s="305">
        <v>1</v>
      </c>
      <c r="E84" s="315"/>
      <c r="F84" s="305"/>
      <c r="G84" s="311">
        <f t="shared" si="0"/>
        <v>0</v>
      </c>
      <c r="N84" s="289"/>
      <c r="S84" s="289"/>
    </row>
    <row r="85" spans="1:19" x14ac:dyDescent="0.4">
      <c r="A85" s="303"/>
      <c r="B85" s="329" t="s">
        <v>200</v>
      </c>
      <c r="C85" s="330" t="s">
        <v>234</v>
      </c>
      <c r="D85" s="305">
        <v>2</v>
      </c>
      <c r="E85" s="315">
        <v>35</v>
      </c>
      <c r="F85" s="305"/>
      <c r="G85" s="311">
        <f t="shared" si="0"/>
        <v>0</v>
      </c>
      <c r="N85" s="289"/>
      <c r="S85" s="289"/>
    </row>
    <row r="86" spans="1:19" x14ac:dyDescent="0.4">
      <c r="A86" s="303"/>
      <c r="B86" s="329" t="s">
        <v>188</v>
      </c>
      <c r="C86" s="330" t="s">
        <v>249</v>
      </c>
      <c r="D86" s="305">
        <v>1</v>
      </c>
      <c r="E86" s="315"/>
      <c r="F86" s="305">
        <v>6.1</v>
      </c>
      <c r="G86" s="311">
        <f t="shared" si="0"/>
        <v>0.38124999999999998</v>
      </c>
      <c r="N86" s="289"/>
      <c r="S86" s="289"/>
    </row>
    <row r="87" spans="1:19" x14ac:dyDescent="0.4">
      <c r="A87" s="303"/>
      <c r="B87" s="329" t="s">
        <v>281</v>
      </c>
      <c r="C87" s="330" t="s">
        <v>279</v>
      </c>
      <c r="D87" s="305">
        <v>1</v>
      </c>
      <c r="E87" s="315"/>
      <c r="F87" s="305"/>
      <c r="G87" s="311">
        <f t="shared" si="0"/>
        <v>0</v>
      </c>
      <c r="N87" s="289"/>
      <c r="S87" s="289"/>
    </row>
    <row r="88" spans="1:19" x14ac:dyDescent="0.4">
      <c r="A88" s="303"/>
      <c r="B88" s="329" t="s">
        <v>236</v>
      </c>
      <c r="C88" s="330" t="s">
        <v>247</v>
      </c>
      <c r="D88" s="305">
        <v>1</v>
      </c>
      <c r="E88" s="315">
        <v>89</v>
      </c>
      <c r="F88" s="305">
        <v>6.7</v>
      </c>
      <c r="G88" s="311">
        <f t="shared" si="0"/>
        <v>0.41875000000000001</v>
      </c>
      <c r="N88" s="289"/>
      <c r="S88" s="289"/>
    </row>
    <row r="89" spans="1:19" x14ac:dyDescent="0.4">
      <c r="A89" s="303"/>
      <c r="B89" s="329" t="s">
        <v>241</v>
      </c>
      <c r="C89" s="305" t="s">
        <v>280</v>
      </c>
      <c r="D89" s="305">
        <v>1</v>
      </c>
      <c r="E89" s="315">
        <v>140</v>
      </c>
      <c r="F89" s="305">
        <v>19.5</v>
      </c>
      <c r="G89" s="311">
        <f t="shared" si="0"/>
        <v>1.21875</v>
      </c>
      <c r="N89" s="289"/>
      <c r="S89" s="289"/>
    </row>
    <row r="90" spans="1:19" x14ac:dyDescent="0.4">
      <c r="A90" s="303"/>
      <c r="B90" s="329" t="s">
        <v>192</v>
      </c>
      <c r="C90" s="330" t="s">
        <v>248</v>
      </c>
      <c r="D90" s="331">
        <v>1</v>
      </c>
      <c r="E90" s="332">
        <v>66.75</v>
      </c>
      <c r="F90" s="331">
        <v>9.3000000000000007</v>
      </c>
      <c r="G90" s="311">
        <f t="shared" si="0"/>
        <v>0.58125000000000004</v>
      </c>
      <c r="N90" s="289"/>
      <c r="S90" s="289"/>
    </row>
    <row r="91" spans="1:19" x14ac:dyDescent="0.4">
      <c r="A91" s="303"/>
      <c r="B91" s="329" t="s">
        <v>203</v>
      </c>
      <c r="C91" s="305" t="s">
        <v>237</v>
      </c>
      <c r="D91" s="305">
        <v>1</v>
      </c>
      <c r="E91" s="315">
        <v>269</v>
      </c>
      <c r="F91" s="305">
        <v>22.3</v>
      </c>
      <c r="G91" s="311">
        <f t="shared" si="0"/>
        <v>1.39375</v>
      </c>
      <c r="N91" s="289"/>
      <c r="S91" s="289"/>
    </row>
    <row r="92" spans="1:19" x14ac:dyDescent="0.4">
      <c r="A92" s="303"/>
      <c r="B92" s="329" t="s">
        <v>193</v>
      </c>
      <c r="C92" s="330" t="s">
        <v>210</v>
      </c>
      <c r="D92" s="305">
        <v>1</v>
      </c>
      <c r="E92" s="315">
        <v>0</v>
      </c>
      <c r="F92" s="305"/>
      <c r="G92" s="311">
        <f t="shared" si="0"/>
        <v>0</v>
      </c>
      <c r="N92" s="289"/>
      <c r="S92" s="289"/>
    </row>
    <row r="93" spans="1:19" x14ac:dyDescent="0.4">
      <c r="A93" s="303"/>
      <c r="B93" s="329" t="s">
        <v>233</v>
      </c>
      <c r="C93" s="330" t="s">
        <v>232</v>
      </c>
      <c r="D93" s="305">
        <v>1</v>
      </c>
      <c r="E93" s="315">
        <v>175</v>
      </c>
      <c r="F93" s="305">
        <v>18</v>
      </c>
      <c r="G93" s="311">
        <f t="shared" si="0"/>
        <v>1.125</v>
      </c>
      <c r="N93" s="289"/>
      <c r="S93" s="289"/>
    </row>
    <row r="94" spans="1:19" x14ac:dyDescent="0.4">
      <c r="A94" s="303"/>
      <c r="B94" s="329" t="s">
        <v>194</v>
      </c>
      <c r="C94" s="305" t="s">
        <v>149</v>
      </c>
      <c r="D94" s="305">
        <v>1</v>
      </c>
      <c r="E94" s="315">
        <v>120</v>
      </c>
      <c r="F94" s="305">
        <v>18</v>
      </c>
      <c r="G94" s="311">
        <f t="shared" si="0"/>
        <v>1.125</v>
      </c>
      <c r="H94" s="313">
        <f>G94/16</f>
        <v>7.03125E-2</v>
      </c>
      <c r="N94" s="289"/>
      <c r="S94" s="289"/>
    </row>
    <row r="95" spans="1:19" x14ac:dyDescent="0.4">
      <c r="A95" s="303"/>
      <c r="B95" s="329" t="s">
        <v>195</v>
      </c>
      <c r="C95" s="305" t="s">
        <v>152</v>
      </c>
      <c r="D95" s="305">
        <v>1</v>
      </c>
      <c r="E95" s="315">
        <v>215</v>
      </c>
      <c r="F95" s="305">
        <v>17</v>
      </c>
      <c r="G95" s="311">
        <f t="shared" ref="G95:G102" si="1">F95/16</f>
        <v>1.0625</v>
      </c>
      <c r="H95" s="313">
        <f>G95/16</f>
        <v>6.640625E-2</v>
      </c>
      <c r="N95" s="289"/>
      <c r="S95" s="289"/>
    </row>
    <row r="96" spans="1:19" x14ac:dyDescent="0.4">
      <c r="A96" s="303"/>
      <c r="B96" s="329" t="s">
        <v>211</v>
      </c>
      <c r="C96" s="330" t="s">
        <v>238</v>
      </c>
      <c r="D96" s="305">
        <v>1</v>
      </c>
      <c r="E96" s="315">
        <v>59</v>
      </c>
      <c r="F96" s="305">
        <v>2.9</v>
      </c>
      <c r="G96" s="311">
        <f t="shared" si="1"/>
        <v>0.18124999999999999</v>
      </c>
      <c r="N96" s="289"/>
      <c r="S96" s="289"/>
    </row>
    <row r="97" spans="1:19" x14ac:dyDescent="0.4">
      <c r="A97" s="303"/>
      <c r="B97" s="329" t="s">
        <v>212</v>
      </c>
      <c r="C97" s="330" t="s">
        <v>239</v>
      </c>
      <c r="D97" s="305">
        <v>1</v>
      </c>
      <c r="E97" s="315">
        <v>90</v>
      </c>
      <c r="F97" s="305">
        <v>7.2</v>
      </c>
      <c r="G97" s="311">
        <f t="shared" si="1"/>
        <v>0.45</v>
      </c>
      <c r="N97" s="289"/>
      <c r="S97" s="289"/>
    </row>
    <row r="98" spans="1:19" x14ac:dyDescent="0.4">
      <c r="A98" s="303"/>
      <c r="B98" s="333" t="s">
        <v>282</v>
      </c>
      <c r="C98" s="330" t="s">
        <v>283</v>
      </c>
      <c r="D98" s="305"/>
      <c r="E98" s="315"/>
      <c r="F98" s="305"/>
      <c r="G98" s="311">
        <f t="shared" si="1"/>
        <v>0</v>
      </c>
      <c r="N98" s="289"/>
      <c r="S98" s="289"/>
    </row>
    <row r="99" spans="1:19" x14ac:dyDescent="0.4">
      <c r="A99" s="303"/>
      <c r="B99" s="329" t="s">
        <v>196</v>
      </c>
      <c r="C99" s="330" t="s">
        <v>252</v>
      </c>
      <c r="D99" s="305">
        <v>1</v>
      </c>
      <c r="E99" s="315">
        <v>79</v>
      </c>
      <c r="F99" s="305">
        <v>3.5</v>
      </c>
      <c r="G99" s="311">
        <f t="shared" si="1"/>
        <v>0.21875</v>
      </c>
      <c r="N99" s="289"/>
      <c r="S99" s="289"/>
    </row>
    <row r="100" spans="1:19" x14ac:dyDescent="0.4">
      <c r="A100" s="303"/>
      <c r="B100" s="329" t="s">
        <v>197</v>
      </c>
      <c r="C100" s="305" t="s">
        <v>85</v>
      </c>
      <c r="D100" s="305">
        <v>1</v>
      </c>
      <c r="E100" s="315">
        <v>50</v>
      </c>
      <c r="F100" s="305">
        <v>4.2</v>
      </c>
      <c r="G100" s="311">
        <f t="shared" si="1"/>
        <v>0.26250000000000001</v>
      </c>
      <c r="N100" s="289"/>
      <c r="S100" s="289"/>
    </row>
    <row r="101" spans="1:19" x14ac:dyDescent="0.4">
      <c r="A101" s="303"/>
      <c r="B101" s="329" t="s">
        <v>198</v>
      </c>
      <c r="C101" s="330" t="s">
        <v>240</v>
      </c>
      <c r="D101" s="305">
        <v>1</v>
      </c>
      <c r="E101" s="315"/>
      <c r="F101" s="305"/>
      <c r="G101" s="311">
        <f t="shared" si="1"/>
        <v>0</v>
      </c>
      <c r="N101" s="289"/>
      <c r="S101" s="289"/>
    </row>
    <row r="102" spans="1:19" x14ac:dyDescent="0.4">
      <c r="A102" s="303"/>
      <c r="B102" s="334" t="s">
        <v>199</v>
      </c>
      <c r="C102" s="335" t="s">
        <v>253</v>
      </c>
      <c r="D102" s="336">
        <v>1</v>
      </c>
      <c r="E102" s="337">
        <v>22.5</v>
      </c>
      <c r="F102" s="336">
        <v>6</v>
      </c>
      <c r="G102" s="311">
        <f t="shared" si="1"/>
        <v>0.375</v>
      </c>
      <c r="N102" s="289"/>
      <c r="O102" s="324"/>
      <c r="P102" s="324"/>
      <c r="Q102" s="324"/>
      <c r="R102" s="324"/>
      <c r="S102" s="325"/>
    </row>
    <row r="103" spans="1:19" x14ac:dyDescent="0.4">
      <c r="A103" s="303"/>
      <c r="B103" s="326" t="s">
        <v>185</v>
      </c>
      <c r="C103" s="327"/>
      <c r="D103" s="293"/>
      <c r="E103" s="328"/>
      <c r="F103" s="293"/>
      <c r="G103" s="311">
        <f>F103/16</f>
        <v>0</v>
      </c>
      <c r="H103" s="295"/>
      <c r="I103" s="295"/>
      <c r="J103" s="295"/>
      <c r="K103" s="338"/>
      <c r="L103" s="295"/>
      <c r="M103" s="295"/>
      <c r="N103" s="296"/>
      <c r="O103" s="295"/>
      <c r="P103" s="339"/>
      <c r="Q103" s="295"/>
      <c r="R103" s="340"/>
      <c r="S103" s="296"/>
    </row>
    <row r="104" spans="1:19" x14ac:dyDescent="0.4">
      <c r="A104" s="303"/>
      <c r="B104" s="304" t="s">
        <v>138</v>
      </c>
      <c r="C104" s="305"/>
      <c r="D104" s="305"/>
      <c r="E104" s="305"/>
      <c r="F104" s="305"/>
      <c r="G104" s="311">
        <f t="shared" ref="G104:G127" si="2">F104/16</f>
        <v>0</v>
      </c>
      <c r="N104" s="289"/>
      <c r="S104" s="289"/>
    </row>
    <row r="105" spans="1:19" x14ac:dyDescent="0.4">
      <c r="A105" s="303"/>
      <c r="B105" s="304" t="s">
        <v>320</v>
      </c>
      <c r="C105" s="305"/>
      <c r="D105" s="305"/>
      <c r="E105" s="305"/>
      <c r="F105" s="305"/>
      <c r="G105" s="311">
        <f t="shared" si="2"/>
        <v>0</v>
      </c>
      <c r="N105" s="289"/>
      <c r="S105" s="289"/>
    </row>
    <row r="106" spans="1:19" x14ac:dyDescent="0.4">
      <c r="A106" s="303"/>
      <c r="B106" s="307" t="s">
        <v>284</v>
      </c>
      <c r="C106" s="305"/>
      <c r="D106" s="305"/>
      <c r="E106" s="305"/>
      <c r="F106" s="305"/>
      <c r="G106" s="311">
        <f t="shared" si="2"/>
        <v>0</v>
      </c>
      <c r="N106" s="289" t="s">
        <v>321</v>
      </c>
      <c r="S106" s="289"/>
    </row>
    <row r="107" spans="1:19" x14ac:dyDescent="0.4">
      <c r="A107" s="303"/>
      <c r="B107" s="304" t="s">
        <v>213</v>
      </c>
      <c r="C107" s="305"/>
      <c r="D107" s="305"/>
      <c r="E107" s="315"/>
      <c r="F107" s="305"/>
      <c r="G107" s="311">
        <f t="shared" si="2"/>
        <v>0</v>
      </c>
      <c r="N107" s="289"/>
      <c r="S107" s="289"/>
    </row>
    <row r="108" spans="1:19" x14ac:dyDescent="0.4">
      <c r="A108" s="303"/>
      <c r="B108" s="304" t="s">
        <v>214</v>
      </c>
      <c r="C108" s="305"/>
      <c r="D108" s="305"/>
      <c r="E108" s="315"/>
      <c r="F108" s="305"/>
      <c r="G108" s="311">
        <f t="shared" si="2"/>
        <v>0</v>
      </c>
      <c r="N108" s="289"/>
      <c r="S108" s="289"/>
    </row>
    <row r="109" spans="1:19" x14ac:dyDescent="0.4">
      <c r="A109" s="303"/>
      <c r="B109" s="304" t="s">
        <v>215</v>
      </c>
      <c r="C109" s="305"/>
      <c r="D109" s="305"/>
      <c r="E109" s="315"/>
      <c r="F109" s="305"/>
      <c r="G109" s="311">
        <f t="shared" si="2"/>
        <v>0</v>
      </c>
      <c r="N109" s="289"/>
      <c r="S109" s="289"/>
    </row>
    <row r="110" spans="1:19" x14ac:dyDescent="0.4">
      <c r="A110" s="303"/>
      <c r="B110" s="341" t="s">
        <v>322</v>
      </c>
      <c r="C110" s="327"/>
      <c r="D110" s="293"/>
      <c r="E110" s="328"/>
      <c r="F110" s="293"/>
      <c r="G110" s="311">
        <f t="shared" si="2"/>
        <v>0</v>
      </c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  <c r="R110" s="295"/>
      <c r="S110" s="296"/>
    </row>
    <row r="111" spans="1:19" x14ac:dyDescent="0.4">
      <c r="A111" s="303"/>
      <c r="B111" s="342" t="s">
        <v>334</v>
      </c>
      <c r="C111" s="343"/>
      <c r="D111" s="301"/>
      <c r="E111" s="344"/>
      <c r="F111" s="301"/>
      <c r="G111" s="311"/>
      <c r="S111" s="289"/>
    </row>
    <row r="112" spans="1:19" x14ac:dyDescent="0.4">
      <c r="A112" s="303"/>
      <c r="B112" s="342" t="s">
        <v>243</v>
      </c>
      <c r="C112" s="305" t="s">
        <v>242</v>
      </c>
      <c r="D112" s="305"/>
      <c r="E112" s="315"/>
      <c r="F112" s="305"/>
      <c r="G112" s="311">
        <f t="shared" si="2"/>
        <v>0</v>
      </c>
      <c r="S112" s="289"/>
    </row>
    <row r="113" spans="1:19" x14ac:dyDescent="0.4">
      <c r="A113" s="303"/>
      <c r="B113" s="342" t="s">
        <v>74</v>
      </c>
      <c r="C113" s="305"/>
      <c r="D113" s="305"/>
      <c r="E113" s="315">
        <v>229</v>
      </c>
      <c r="F113" s="305">
        <v>122</v>
      </c>
      <c r="G113" s="311">
        <f t="shared" si="2"/>
        <v>7.625</v>
      </c>
      <c r="K113" s="316"/>
      <c r="P113" s="312"/>
      <c r="R113" s="313"/>
      <c r="S113" s="289"/>
    </row>
    <row r="114" spans="1:19" x14ac:dyDescent="0.4">
      <c r="A114" s="303"/>
      <c r="B114" s="342" t="s">
        <v>73</v>
      </c>
      <c r="C114" s="305"/>
      <c r="D114" s="305"/>
      <c r="E114" s="315">
        <v>39.950000000000003</v>
      </c>
      <c r="F114" s="305">
        <v>16.600000000000001</v>
      </c>
      <c r="G114" s="311">
        <f t="shared" si="2"/>
        <v>1.0375000000000001</v>
      </c>
      <c r="K114" s="316"/>
      <c r="S114" s="289"/>
    </row>
    <row r="115" spans="1:19" x14ac:dyDescent="0.4">
      <c r="A115" s="303"/>
      <c r="B115" s="342" t="s">
        <v>78</v>
      </c>
      <c r="C115" s="305"/>
      <c r="D115" s="305"/>
      <c r="E115" s="315"/>
      <c r="F115" s="305"/>
      <c r="G115" s="311">
        <f t="shared" si="2"/>
        <v>0</v>
      </c>
      <c r="S115" s="289"/>
    </row>
    <row r="116" spans="1:19" x14ac:dyDescent="0.4">
      <c r="A116" s="303"/>
      <c r="B116" s="342" t="s">
        <v>133</v>
      </c>
      <c r="C116" s="305"/>
      <c r="D116" s="305"/>
      <c r="E116" s="315"/>
      <c r="F116" s="305"/>
      <c r="G116" s="311">
        <f t="shared" si="2"/>
        <v>0</v>
      </c>
      <c r="S116" s="289"/>
    </row>
    <row r="117" spans="1:19" x14ac:dyDescent="0.4">
      <c r="A117" s="303"/>
      <c r="B117" s="345" t="s">
        <v>158</v>
      </c>
      <c r="C117" s="346"/>
      <c r="D117" s="346"/>
      <c r="E117" s="315"/>
      <c r="F117" s="305"/>
      <c r="G117" s="311">
        <f t="shared" si="2"/>
        <v>0</v>
      </c>
      <c r="S117" s="289"/>
    </row>
    <row r="118" spans="1:19" x14ac:dyDescent="0.4">
      <c r="A118" s="303"/>
      <c r="B118" s="345" t="s">
        <v>129</v>
      </c>
      <c r="C118" s="346"/>
      <c r="D118" s="346"/>
      <c r="E118" s="315"/>
      <c r="F118" s="305"/>
      <c r="G118" s="311">
        <f t="shared" si="2"/>
        <v>0</v>
      </c>
      <c r="S118" s="289"/>
    </row>
    <row r="119" spans="1:19" x14ac:dyDescent="0.4">
      <c r="A119" s="303"/>
      <c r="B119" s="342" t="s">
        <v>136</v>
      </c>
      <c r="C119" s="305"/>
      <c r="D119" s="305"/>
      <c r="E119" s="315"/>
      <c r="F119" s="305"/>
      <c r="G119" s="311">
        <f t="shared" si="2"/>
        <v>0</v>
      </c>
      <c r="S119" s="289"/>
    </row>
    <row r="120" spans="1:19" x14ac:dyDescent="0.4">
      <c r="A120" s="303"/>
      <c r="B120" s="342" t="s">
        <v>259</v>
      </c>
      <c r="C120" s="305"/>
      <c r="D120" s="305"/>
      <c r="E120" s="315"/>
      <c r="F120" s="305"/>
      <c r="G120" s="311">
        <f t="shared" si="2"/>
        <v>0</v>
      </c>
      <c r="S120" s="289"/>
    </row>
    <row r="121" spans="1:19" x14ac:dyDescent="0.4">
      <c r="A121" s="303"/>
      <c r="B121" s="342" t="s">
        <v>260</v>
      </c>
      <c r="C121" s="305"/>
      <c r="D121" s="305"/>
      <c r="E121" s="315"/>
      <c r="F121" s="305"/>
      <c r="G121" s="311">
        <f t="shared" si="2"/>
        <v>0</v>
      </c>
      <c r="S121" s="289"/>
    </row>
    <row r="122" spans="1:19" x14ac:dyDescent="0.4">
      <c r="A122" s="303"/>
      <c r="B122" s="342" t="s">
        <v>117</v>
      </c>
      <c r="C122" s="305"/>
      <c r="D122" s="305"/>
      <c r="E122" s="315">
        <v>89.95</v>
      </c>
      <c r="F122" s="305">
        <v>12.4</v>
      </c>
      <c r="G122" s="311">
        <f t="shared" si="2"/>
        <v>0.77500000000000002</v>
      </c>
      <c r="S122" s="289"/>
    </row>
    <row r="123" spans="1:19" x14ac:dyDescent="0.4">
      <c r="A123" s="303"/>
      <c r="B123" s="345" t="s">
        <v>154</v>
      </c>
      <c r="C123" s="305"/>
      <c r="D123" s="305"/>
      <c r="E123" s="305"/>
      <c r="F123" s="305"/>
      <c r="G123" s="311">
        <f t="shared" si="2"/>
        <v>0</v>
      </c>
      <c r="S123" s="289"/>
    </row>
    <row r="124" spans="1:19" x14ac:dyDescent="0.4">
      <c r="A124" s="303"/>
      <c r="B124" s="342" t="s">
        <v>86</v>
      </c>
      <c r="C124" s="305"/>
      <c r="D124" s="305"/>
      <c r="E124" s="315">
        <v>800</v>
      </c>
      <c r="F124" s="305">
        <v>45</v>
      </c>
      <c r="G124" s="311">
        <f t="shared" si="2"/>
        <v>2.8125</v>
      </c>
      <c r="S124" s="289"/>
    </row>
    <row r="125" spans="1:19" x14ac:dyDescent="0.4">
      <c r="A125" s="303"/>
      <c r="B125" s="342" t="s">
        <v>87</v>
      </c>
      <c r="C125" s="305"/>
      <c r="D125" s="305"/>
      <c r="E125" s="315">
        <v>150</v>
      </c>
      <c r="F125" s="305">
        <v>16</v>
      </c>
      <c r="G125" s="311">
        <f t="shared" si="2"/>
        <v>1</v>
      </c>
      <c r="S125" s="289"/>
    </row>
    <row r="126" spans="1:19" x14ac:dyDescent="0.4">
      <c r="A126" s="303"/>
      <c r="B126" s="342" t="s">
        <v>88</v>
      </c>
      <c r="C126" s="305"/>
      <c r="D126" s="305"/>
      <c r="E126" s="315"/>
      <c r="F126" s="305">
        <v>6</v>
      </c>
      <c r="G126" s="311">
        <f t="shared" si="2"/>
        <v>0.375</v>
      </c>
      <c r="S126" s="289"/>
    </row>
    <row r="127" spans="1:19" x14ac:dyDescent="0.4">
      <c r="A127" s="347"/>
      <c r="B127" s="348" t="s">
        <v>70</v>
      </c>
      <c r="C127" s="322"/>
      <c r="D127" s="322"/>
      <c r="E127" s="323">
        <f>SUM(E26:E126)</f>
        <v>4764</v>
      </c>
      <c r="F127" s="322">
        <f ca="1">SUM(F26:F125)</f>
        <v>798.99</v>
      </c>
      <c r="G127" s="311">
        <f t="shared" ca="1" si="2"/>
        <v>0</v>
      </c>
      <c r="H127" s="324"/>
      <c r="I127" s="324"/>
      <c r="J127" s="349"/>
      <c r="K127" s="350"/>
      <c r="L127" s="324"/>
      <c r="M127" s="324"/>
      <c r="N127" s="324"/>
      <c r="O127" s="324"/>
      <c r="P127" s="324"/>
      <c r="Q127" s="324"/>
      <c r="R127" s="324"/>
      <c r="S127" s="325"/>
    </row>
    <row r="128" spans="1:19" x14ac:dyDescent="0.4">
      <c r="A128" s="303"/>
      <c r="B128" s="351" t="s">
        <v>312</v>
      </c>
      <c r="C128" s="305"/>
      <c r="D128" s="305"/>
      <c r="E128" s="315"/>
      <c r="F128" s="305"/>
      <c r="G128" s="311">
        <v>47</v>
      </c>
      <c r="N128" s="352" t="s">
        <v>317</v>
      </c>
      <c r="O128" s="342"/>
    </row>
    <row r="129" spans="1:15" x14ac:dyDescent="0.4">
      <c r="A129" s="303"/>
      <c r="B129" s="351" t="s">
        <v>286</v>
      </c>
      <c r="C129" s="305"/>
      <c r="D129" s="305">
        <v>4</v>
      </c>
      <c r="E129" s="315"/>
      <c r="F129" s="305"/>
      <c r="G129" s="311">
        <v>4</v>
      </c>
      <c r="N129" s="352">
        <v>105</v>
      </c>
      <c r="O129" s="342"/>
    </row>
    <row r="130" spans="1:15" x14ac:dyDescent="0.4">
      <c r="A130" s="303"/>
      <c r="B130" s="351" t="s">
        <v>301</v>
      </c>
      <c r="C130" s="305"/>
      <c r="D130" s="305">
        <v>2</v>
      </c>
      <c r="E130" s="315"/>
      <c r="F130" s="305"/>
      <c r="G130" s="311">
        <v>3</v>
      </c>
      <c r="N130" s="352">
        <v>25</v>
      </c>
      <c r="O130" s="342"/>
    </row>
    <row r="131" spans="1:15" x14ac:dyDescent="0.4">
      <c r="A131" s="303"/>
      <c r="B131" s="342" t="s">
        <v>300</v>
      </c>
      <c r="C131" s="305"/>
      <c r="D131" s="305"/>
      <c r="E131" s="315"/>
      <c r="F131" s="305"/>
      <c r="G131" s="311"/>
      <c r="N131" s="352"/>
      <c r="O131" s="342"/>
    </row>
    <row r="132" spans="1:15" x14ac:dyDescent="0.4">
      <c r="A132" s="303"/>
      <c r="B132" s="351" t="s">
        <v>287</v>
      </c>
      <c r="C132" s="305"/>
      <c r="D132" s="305"/>
      <c r="E132" s="315"/>
      <c r="F132" s="305"/>
      <c r="G132" s="311">
        <v>6.8</v>
      </c>
      <c r="N132" s="352"/>
      <c r="O132" s="342"/>
    </row>
    <row r="133" spans="1:15" x14ac:dyDescent="0.4">
      <c r="A133" s="303"/>
      <c r="B133" s="342" t="s">
        <v>288</v>
      </c>
      <c r="C133" s="305"/>
      <c r="D133" s="305"/>
      <c r="E133" s="315"/>
      <c r="F133" s="305"/>
      <c r="G133" s="311"/>
      <c r="N133" s="352"/>
      <c r="O133" s="342"/>
    </row>
    <row r="134" spans="1:15" x14ac:dyDescent="0.4">
      <c r="A134" s="303"/>
      <c r="B134" s="351" t="s">
        <v>289</v>
      </c>
      <c r="C134" s="305"/>
      <c r="D134" s="305"/>
      <c r="E134" s="315"/>
      <c r="F134" s="305"/>
      <c r="G134" s="311"/>
      <c r="N134" s="352">
        <v>30</v>
      </c>
      <c r="O134" s="342"/>
    </row>
    <row r="135" spans="1:15" x14ac:dyDescent="0.4">
      <c r="A135" s="303"/>
      <c r="B135" s="351" t="s">
        <v>290</v>
      </c>
      <c r="C135" s="305"/>
      <c r="D135" s="305"/>
      <c r="E135" s="315"/>
      <c r="F135" s="305"/>
      <c r="G135" s="311"/>
      <c r="N135" s="352">
        <v>50</v>
      </c>
      <c r="O135" s="342"/>
    </row>
    <row r="136" spans="1:15" x14ac:dyDescent="0.4">
      <c r="A136" s="303"/>
      <c r="B136" s="342" t="s">
        <v>291</v>
      </c>
      <c r="C136" s="305"/>
      <c r="D136" s="305"/>
      <c r="E136" s="315"/>
      <c r="F136" s="305"/>
      <c r="G136" s="311"/>
      <c r="N136" s="352"/>
      <c r="O136" s="342" t="s">
        <v>306</v>
      </c>
    </row>
    <row r="137" spans="1:15" x14ac:dyDescent="0.4">
      <c r="A137" s="303"/>
      <c r="B137" s="342" t="s">
        <v>302</v>
      </c>
      <c r="C137" s="305"/>
      <c r="D137" s="305">
        <v>2</v>
      </c>
      <c r="E137" s="315"/>
      <c r="F137" s="305"/>
      <c r="G137" s="311"/>
      <c r="N137" s="352"/>
      <c r="O137" s="342" t="s">
        <v>306</v>
      </c>
    </row>
    <row r="138" spans="1:15" x14ac:dyDescent="0.4">
      <c r="A138" s="303"/>
      <c r="B138" s="351" t="s">
        <v>307</v>
      </c>
      <c r="C138" s="305"/>
      <c r="D138" s="305">
        <v>1</v>
      </c>
      <c r="E138" s="315"/>
      <c r="F138" s="305"/>
      <c r="G138" s="311">
        <v>2.6</v>
      </c>
      <c r="N138" s="352">
        <v>18</v>
      </c>
      <c r="O138" s="342"/>
    </row>
    <row r="139" spans="1:15" x14ac:dyDescent="0.4">
      <c r="A139" s="303"/>
      <c r="B139" s="351" t="s">
        <v>316</v>
      </c>
      <c r="C139" s="305"/>
      <c r="D139" s="305"/>
      <c r="E139" s="315"/>
      <c r="F139" s="305"/>
      <c r="G139" s="311">
        <v>2</v>
      </c>
      <c r="N139" s="352">
        <v>159</v>
      </c>
      <c r="O139" s="342"/>
    </row>
    <row r="140" spans="1:15" x14ac:dyDescent="0.4">
      <c r="A140" s="303"/>
      <c r="B140" s="351" t="s">
        <v>314</v>
      </c>
      <c r="C140" s="305"/>
      <c r="D140" s="305">
        <v>4</v>
      </c>
      <c r="E140" s="315"/>
      <c r="F140" s="305"/>
      <c r="G140" s="311">
        <f>9.6/16*D140</f>
        <v>2.4</v>
      </c>
      <c r="N140" s="352">
        <f>10*D140</f>
        <v>40</v>
      </c>
      <c r="O140" s="342"/>
    </row>
    <row r="141" spans="1:15" x14ac:dyDescent="0.4">
      <c r="A141" s="303"/>
      <c r="B141" s="351" t="s">
        <v>311</v>
      </c>
      <c r="C141" s="305"/>
      <c r="D141" s="305">
        <v>4</v>
      </c>
      <c r="E141" s="315"/>
      <c r="F141" s="305"/>
      <c r="G141" s="311">
        <f>1.2*D141</f>
        <v>4.8</v>
      </c>
      <c r="N141" s="352">
        <f>15*D141</f>
        <v>60</v>
      </c>
      <c r="O141" s="342"/>
    </row>
    <row r="142" spans="1:15" x14ac:dyDescent="0.4">
      <c r="A142" s="303"/>
      <c r="B142" s="351" t="s">
        <v>315</v>
      </c>
      <c r="C142" s="305"/>
      <c r="D142" s="305">
        <v>3</v>
      </c>
      <c r="E142" s="315"/>
      <c r="F142" s="305"/>
      <c r="G142" s="311">
        <f>5/2*D142</f>
        <v>7.5</v>
      </c>
      <c r="N142" s="352">
        <f>D142*20</f>
        <v>60</v>
      </c>
      <c r="O142" s="342"/>
    </row>
    <row r="143" spans="1:15" x14ac:dyDescent="0.4">
      <c r="A143" s="303"/>
      <c r="B143" s="342" t="s">
        <v>292</v>
      </c>
      <c r="C143" s="305"/>
      <c r="D143" s="305"/>
      <c r="E143" s="315"/>
      <c r="F143" s="305"/>
      <c r="G143" s="353">
        <v>25</v>
      </c>
      <c r="N143" s="352"/>
      <c r="O143" s="342" t="s">
        <v>306</v>
      </c>
    </row>
    <row r="144" spans="1:15" x14ac:dyDescent="0.4">
      <c r="A144" s="303"/>
      <c r="B144" s="342" t="s">
        <v>293</v>
      </c>
      <c r="C144" s="305"/>
      <c r="D144" s="305"/>
      <c r="E144" s="315"/>
      <c r="F144" s="305"/>
      <c r="G144" s="311">
        <v>0</v>
      </c>
      <c r="N144" s="352"/>
      <c r="O144" s="342" t="s">
        <v>306</v>
      </c>
    </row>
    <row r="145" spans="1:15" x14ac:dyDescent="0.4">
      <c r="A145" s="303"/>
      <c r="B145" s="342" t="s">
        <v>303</v>
      </c>
      <c r="C145" s="305"/>
      <c r="D145" s="305"/>
      <c r="E145" s="315"/>
      <c r="F145" s="305"/>
      <c r="G145" s="311"/>
      <c r="N145" s="352"/>
      <c r="O145" s="342"/>
    </row>
    <row r="146" spans="1:15" x14ac:dyDescent="0.4">
      <c r="A146" s="303"/>
      <c r="B146" s="342" t="s">
        <v>294</v>
      </c>
      <c r="C146" s="305"/>
      <c r="D146" s="305"/>
      <c r="E146" s="315"/>
      <c r="F146" s="305"/>
      <c r="G146" s="311"/>
      <c r="N146" s="352"/>
      <c r="O146" s="342"/>
    </row>
    <row r="147" spans="1:15" x14ac:dyDescent="0.4">
      <c r="A147" s="303"/>
      <c r="B147" s="342" t="s">
        <v>295</v>
      </c>
      <c r="C147" s="305"/>
      <c r="D147" s="305"/>
      <c r="E147" s="315"/>
      <c r="F147" s="305"/>
      <c r="G147" s="311"/>
      <c r="N147" s="352"/>
      <c r="O147" s="342"/>
    </row>
    <row r="148" spans="1:15" x14ac:dyDescent="0.4">
      <c r="A148" s="303"/>
      <c r="B148" s="342" t="s">
        <v>296</v>
      </c>
      <c r="C148" s="305"/>
      <c r="D148" s="305"/>
      <c r="E148" s="315"/>
      <c r="F148" s="305"/>
      <c r="G148" s="311"/>
      <c r="N148" s="352"/>
      <c r="O148" s="342"/>
    </row>
    <row r="149" spans="1:15" x14ac:dyDescent="0.4">
      <c r="A149" s="303"/>
      <c r="B149" s="342" t="s">
        <v>297</v>
      </c>
      <c r="C149" s="305"/>
      <c r="D149" s="305"/>
      <c r="E149" s="315"/>
      <c r="F149" s="305"/>
      <c r="G149" s="311"/>
      <c r="N149" s="352"/>
      <c r="O149" s="342"/>
    </row>
    <row r="150" spans="1:15" x14ac:dyDescent="0.4">
      <c r="A150" s="303"/>
      <c r="B150" s="351" t="s">
        <v>298</v>
      </c>
      <c r="C150" s="305"/>
      <c r="D150" s="305"/>
      <c r="E150" s="315"/>
      <c r="F150" s="305"/>
      <c r="G150" s="311"/>
      <c r="N150" s="352">
        <v>137</v>
      </c>
      <c r="O150" s="342"/>
    </row>
    <row r="151" spans="1:15" x14ac:dyDescent="0.4">
      <c r="A151" s="303"/>
      <c r="B151" s="351" t="s">
        <v>305</v>
      </c>
      <c r="C151" s="305"/>
      <c r="D151" s="305">
        <v>3</v>
      </c>
      <c r="E151" s="315"/>
      <c r="F151" s="305"/>
      <c r="G151" s="311"/>
      <c r="N151" s="352">
        <v>60</v>
      </c>
      <c r="O151" s="342"/>
    </row>
    <row r="152" spans="1:15" x14ac:dyDescent="0.4">
      <c r="A152" s="303"/>
      <c r="B152" s="342" t="s">
        <v>299</v>
      </c>
      <c r="C152" s="305"/>
      <c r="D152" s="305"/>
      <c r="E152" s="315"/>
      <c r="F152" s="305"/>
      <c r="G152" s="311">
        <v>8</v>
      </c>
      <c r="N152" s="352"/>
      <c r="O152" s="342"/>
    </row>
    <row r="153" spans="1:15" x14ac:dyDescent="0.4">
      <c r="B153" s="342" t="s">
        <v>313</v>
      </c>
      <c r="C153" s="342" t="s">
        <v>304</v>
      </c>
      <c r="N153" s="352">
        <f>150*7</f>
        <v>1050</v>
      </c>
      <c r="O153" s="342"/>
    </row>
    <row r="154" spans="1:15" x14ac:dyDescent="0.4">
      <c r="A154" s="303"/>
      <c r="B154" s="351" t="s">
        <v>308</v>
      </c>
      <c r="C154" s="305"/>
      <c r="D154" s="305"/>
      <c r="E154" s="315"/>
      <c r="F154" s="305"/>
      <c r="G154" s="311">
        <v>30</v>
      </c>
      <c r="N154" s="352">
        <v>84</v>
      </c>
      <c r="O154" s="342"/>
    </row>
    <row r="155" spans="1:15" x14ac:dyDescent="0.4">
      <c r="A155" s="303"/>
      <c r="B155" s="351" t="s">
        <v>309</v>
      </c>
      <c r="C155" s="305"/>
      <c r="D155" s="305"/>
      <c r="E155" s="315"/>
      <c r="F155" s="305"/>
      <c r="G155" s="311">
        <v>0.5</v>
      </c>
      <c r="N155" s="352">
        <v>24</v>
      </c>
      <c r="O155" s="342"/>
    </row>
    <row r="156" spans="1:15" x14ac:dyDescent="0.4">
      <c r="A156" s="303"/>
      <c r="B156" s="351" t="s">
        <v>310</v>
      </c>
      <c r="C156" s="305"/>
      <c r="D156" s="305"/>
      <c r="E156" s="315"/>
      <c r="F156" s="305"/>
      <c r="G156" s="311">
        <v>4</v>
      </c>
      <c r="N156" s="352">
        <v>34</v>
      </c>
      <c r="O156" s="342"/>
    </row>
    <row r="157" spans="1:15" x14ac:dyDescent="0.4">
      <c r="A157" s="303"/>
      <c r="B157" s="342" t="s">
        <v>318</v>
      </c>
      <c r="C157" s="305"/>
      <c r="D157" s="305"/>
      <c r="E157" s="315"/>
      <c r="F157" s="305"/>
      <c r="G157" s="311">
        <v>7</v>
      </c>
      <c r="N157" s="352"/>
      <c r="O157" s="342"/>
    </row>
    <row r="158" spans="1:15" x14ac:dyDescent="0.4">
      <c r="A158" s="303"/>
      <c r="B158" s="342" t="s">
        <v>319</v>
      </c>
      <c r="C158" s="305"/>
      <c r="D158" s="305"/>
      <c r="E158" s="315"/>
      <c r="F158" s="305"/>
      <c r="G158" s="311"/>
      <c r="N158" s="352"/>
      <c r="O158" s="342"/>
    </row>
    <row r="159" spans="1:15" x14ac:dyDescent="0.4">
      <c r="A159" s="303"/>
      <c r="B159" s="342"/>
      <c r="C159" s="305"/>
      <c r="D159" s="305"/>
      <c r="E159" s="315"/>
      <c r="F159" s="305"/>
      <c r="G159" s="311"/>
      <c r="N159" s="352"/>
      <c r="O159" s="342"/>
    </row>
    <row r="160" spans="1:15" x14ac:dyDescent="0.4">
      <c r="A160" s="303"/>
      <c r="B160" s="342"/>
      <c r="C160" s="305"/>
      <c r="D160" s="305"/>
      <c r="E160" s="315"/>
      <c r="F160" s="305"/>
      <c r="G160" s="311"/>
      <c r="N160" s="352"/>
      <c r="O160" s="342"/>
    </row>
    <row r="161" spans="1:15" x14ac:dyDescent="0.4">
      <c r="A161" s="303"/>
      <c r="B161" s="342"/>
      <c r="C161" s="305"/>
      <c r="D161" s="305"/>
      <c r="E161" s="315"/>
      <c r="F161" s="305"/>
      <c r="G161" s="311"/>
      <c r="N161" s="352"/>
      <c r="O161" s="342"/>
    </row>
    <row r="162" spans="1:15" x14ac:dyDescent="0.4">
      <c r="A162" s="303"/>
      <c r="B162" s="342"/>
      <c r="C162" s="305"/>
      <c r="D162" s="305"/>
      <c r="E162" s="315"/>
      <c r="F162" s="305"/>
      <c r="G162" s="311"/>
      <c r="N162" s="352"/>
      <c r="O162" s="342"/>
    </row>
    <row r="163" spans="1:15" x14ac:dyDescent="0.4">
      <c r="A163" s="303"/>
      <c r="B163" s="342" t="s">
        <v>325</v>
      </c>
      <c r="C163" s="305"/>
      <c r="D163" s="305"/>
      <c r="E163" s="315"/>
      <c r="F163" s="305"/>
      <c r="G163" s="311"/>
      <c r="N163" s="352"/>
      <c r="O163" s="342"/>
    </row>
    <row r="164" spans="1:15" x14ac:dyDescent="0.4">
      <c r="A164" s="303"/>
      <c r="B164" s="342" t="s">
        <v>326</v>
      </c>
      <c r="C164" s="305"/>
      <c r="D164" s="305"/>
      <c r="E164" s="315"/>
      <c r="F164" s="305"/>
      <c r="G164" s="311"/>
      <c r="N164" s="352"/>
      <c r="O164" s="342"/>
    </row>
    <row r="165" spans="1:15" x14ac:dyDescent="0.4">
      <c r="A165" s="303"/>
      <c r="B165" s="342" t="s">
        <v>327</v>
      </c>
      <c r="C165" s="305"/>
      <c r="D165" s="305"/>
      <c r="E165" s="315"/>
      <c r="F165" s="305"/>
      <c r="G165" s="311"/>
      <c r="N165" s="352"/>
      <c r="O165" s="342"/>
    </row>
    <row r="166" spans="1:15" x14ac:dyDescent="0.4">
      <c r="A166" s="303"/>
      <c r="B166" s="342" t="s">
        <v>331</v>
      </c>
      <c r="C166" s="305"/>
      <c r="D166" s="305"/>
      <c r="E166" s="315"/>
      <c r="F166" s="305"/>
      <c r="G166" s="311"/>
      <c r="N166" s="352"/>
      <c r="O166" s="342"/>
    </row>
    <row r="167" spans="1:15" x14ac:dyDescent="0.4">
      <c r="A167" s="303"/>
      <c r="B167" s="342" t="s">
        <v>332</v>
      </c>
      <c r="C167" s="305"/>
      <c r="D167" s="305"/>
      <c r="E167" s="315"/>
      <c r="F167" s="305"/>
      <c r="G167" s="311"/>
      <c r="N167" s="352"/>
      <c r="O167" s="342"/>
    </row>
    <row r="168" spans="1:15" x14ac:dyDescent="0.4">
      <c r="A168" s="303"/>
      <c r="B168" s="342"/>
      <c r="C168" s="305"/>
      <c r="D168" s="305"/>
      <c r="E168" s="315"/>
      <c r="F168" s="305"/>
      <c r="G168" s="311"/>
      <c r="N168" s="352"/>
      <c r="O168" s="342"/>
    </row>
    <row r="169" spans="1:15" x14ac:dyDescent="0.4">
      <c r="A169" s="303"/>
      <c r="B169" s="342"/>
      <c r="C169" s="305"/>
      <c r="D169" s="305"/>
      <c r="E169" s="315"/>
      <c r="F169" s="305"/>
      <c r="G169" s="311"/>
      <c r="N169" s="352"/>
      <c r="O169" s="342"/>
    </row>
    <row r="170" spans="1:15" x14ac:dyDescent="0.4">
      <c r="A170" s="303"/>
      <c r="B170" s="342"/>
      <c r="C170" s="305"/>
      <c r="D170" s="305"/>
      <c r="E170" s="315"/>
      <c r="F170" s="305"/>
      <c r="G170" s="311"/>
      <c r="N170" s="352"/>
      <c r="O170" s="342"/>
    </row>
    <row r="171" spans="1:15" x14ac:dyDescent="0.4">
      <c r="A171" s="303"/>
      <c r="B171" s="342"/>
      <c r="C171" s="305"/>
      <c r="D171" s="305"/>
      <c r="E171" s="315"/>
      <c r="F171" s="305"/>
      <c r="G171" s="311"/>
      <c r="N171" s="352"/>
      <c r="O171" s="342"/>
    </row>
    <row r="172" spans="1:15" x14ac:dyDescent="0.4">
      <c r="A172" s="303"/>
      <c r="B172" s="342"/>
      <c r="C172" s="305"/>
      <c r="D172" s="305"/>
      <c r="E172" s="315"/>
      <c r="F172" s="305"/>
      <c r="G172" s="311"/>
      <c r="N172" s="352"/>
      <c r="O172" s="342"/>
    </row>
    <row r="173" spans="1:15" x14ac:dyDescent="0.4">
      <c r="A173" s="303"/>
      <c r="B173" s="342"/>
      <c r="C173" s="305"/>
      <c r="D173" s="305"/>
      <c r="E173" s="315"/>
      <c r="F173" s="305"/>
      <c r="G173" s="311"/>
      <c r="N173" s="352"/>
      <c r="O173" s="342"/>
    </row>
    <row r="174" spans="1:15" x14ac:dyDescent="0.4">
      <c r="A174" s="303"/>
      <c r="B174" s="342"/>
      <c r="C174" s="305"/>
      <c r="D174" s="305"/>
      <c r="E174" s="315"/>
      <c r="F174" s="305"/>
      <c r="G174" s="311"/>
      <c r="N174" s="352"/>
      <c r="O174" s="34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30"/>
  <sheetViews>
    <sheetView workbookViewId="0">
      <selection activeCell="F12" sqref="F12"/>
    </sheetView>
  </sheetViews>
  <sheetFormatPr defaultRowHeight="21" x14ac:dyDescent="0.4"/>
  <cols>
    <col min="1" max="3" width="8.88671875" style="281"/>
    <col min="4" max="4" width="11.88671875" style="281" bestFit="1" customWidth="1"/>
    <col min="5" max="5" width="28.21875" style="281" bestFit="1" customWidth="1"/>
    <col min="6" max="6" width="18.77734375" style="281" bestFit="1" customWidth="1"/>
    <col min="7" max="7" width="34.5546875" style="281" bestFit="1" customWidth="1"/>
    <col min="8" max="8" width="14.109375" style="281" bestFit="1" customWidth="1"/>
    <col min="9" max="26" width="8.88671875" style="281"/>
    <col min="27" max="27" width="24.5546875" style="281" bestFit="1" customWidth="1"/>
    <col min="28" max="28" width="9" style="281" bestFit="1" customWidth="1"/>
    <col min="29" max="16384" width="8.88671875" style="281"/>
  </cols>
  <sheetData>
    <row r="1" spans="1:28" x14ac:dyDescent="0.4">
      <c r="B1" s="282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4"/>
      <c r="T1" s="285"/>
      <c r="U1" s="281" t="s">
        <v>102</v>
      </c>
    </row>
    <row r="2" spans="1:28" x14ac:dyDescent="0.4">
      <c r="B2" s="286"/>
      <c r="C2" s="287"/>
      <c r="D2" s="287"/>
      <c r="E2" s="287"/>
      <c r="F2" s="287" t="s">
        <v>108</v>
      </c>
      <c r="G2" s="288"/>
      <c r="J2" s="281" t="s">
        <v>1</v>
      </c>
      <c r="N2" s="281" t="s">
        <v>4</v>
      </c>
      <c r="O2" s="287" t="s">
        <v>177</v>
      </c>
      <c r="P2" s="287"/>
      <c r="Q2" s="287"/>
      <c r="R2" s="288"/>
      <c r="S2" s="289"/>
      <c r="U2" s="281" t="s">
        <v>2</v>
      </c>
      <c r="V2" s="281" t="s">
        <v>43</v>
      </c>
      <c r="W2" s="281" t="s">
        <v>44</v>
      </c>
    </row>
    <row r="3" spans="1:28" x14ac:dyDescent="0.4">
      <c r="A3" s="287" t="s">
        <v>121</v>
      </c>
      <c r="B3" s="286" t="s">
        <v>2</v>
      </c>
      <c r="C3" s="287" t="s">
        <v>202</v>
      </c>
      <c r="D3" s="287" t="s">
        <v>201</v>
      </c>
      <c r="E3" s="281" t="s">
        <v>3</v>
      </c>
      <c r="F3" s="281" t="s">
        <v>43</v>
      </c>
      <c r="G3" s="281" t="s">
        <v>44</v>
      </c>
      <c r="H3" s="281" t="s">
        <v>4</v>
      </c>
      <c r="J3" s="281" t="s">
        <v>2</v>
      </c>
      <c r="K3" s="281" t="s">
        <v>3</v>
      </c>
      <c r="L3" s="281" t="s">
        <v>4</v>
      </c>
      <c r="S3" s="289"/>
      <c r="AB3" s="281" t="s">
        <v>274</v>
      </c>
    </row>
    <row r="4" spans="1:28" x14ac:dyDescent="0.4">
      <c r="A4" s="290"/>
      <c r="B4" s="291" t="s">
        <v>169</v>
      </c>
      <c r="C4" s="292"/>
      <c r="D4" s="293"/>
      <c r="E4" s="293"/>
      <c r="F4" s="293"/>
      <c r="G4" s="294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6"/>
      <c r="AA4" s="297">
        <v>44015</v>
      </c>
      <c r="AB4" s="281">
        <v>7.4</v>
      </c>
    </row>
    <row r="5" spans="1:28" x14ac:dyDescent="0.4">
      <c r="A5" s="298"/>
      <c r="B5" s="299" t="s">
        <v>285</v>
      </c>
      <c r="C5" s="300"/>
      <c r="D5" s="301"/>
      <c r="E5" s="301"/>
      <c r="F5" s="301"/>
      <c r="G5" s="302"/>
      <c r="S5" s="289"/>
      <c r="AA5" s="297"/>
    </row>
    <row r="6" spans="1:28" x14ac:dyDescent="0.4">
      <c r="A6" s="303"/>
      <c r="B6" s="304" t="s">
        <v>171</v>
      </c>
      <c r="C6" s="305"/>
      <c r="D6" s="305"/>
      <c r="E6" s="305"/>
      <c r="F6" s="305"/>
      <c r="G6" s="306"/>
      <c r="S6" s="289"/>
      <c r="AA6" s="297">
        <v>44030</v>
      </c>
      <c r="AB6" s="281">
        <v>8.6999999999999993</v>
      </c>
    </row>
    <row r="7" spans="1:28" x14ac:dyDescent="0.4">
      <c r="A7" s="303"/>
      <c r="B7" s="307" t="s">
        <v>172</v>
      </c>
      <c r="C7" s="305"/>
      <c r="D7" s="305"/>
      <c r="E7" s="305"/>
      <c r="F7" s="305"/>
      <c r="G7" s="306"/>
      <c r="S7" s="289"/>
    </row>
    <row r="8" spans="1:28" x14ac:dyDescent="0.4">
      <c r="A8" s="303"/>
      <c r="B8" s="307" t="s">
        <v>173</v>
      </c>
      <c r="C8" s="305"/>
      <c r="D8" s="305"/>
      <c r="E8" s="305"/>
      <c r="F8" s="305"/>
      <c r="G8" s="306"/>
      <c r="S8" s="289"/>
    </row>
    <row r="9" spans="1:28" x14ac:dyDescent="0.4">
      <c r="A9" s="303"/>
      <c r="B9" s="307" t="s">
        <v>275</v>
      </c>
      <c r="C9" s="305"/>
      <c r="D9" s="305"/>
      <c r="E9" s="305"/>
      <c r="F9" s="305"/>
      <c r="G9" s="306"/>
      <c r="S9" s="289"/>
    </row>
    <row r="10" spans="1:28" x14ac:dyDescent="0.4">
      <c r="A10" s="303"/>
      <c r="B10" s="304" t="s">
        <v>176</v>
      </c>
      <c r="C10" s="305"/>
      <c r="D10" s="305"/>
      <c r="E10" s="305"/>
      <c r="F10" s="305"/>
      <c r="G10" s="306"/>
      <c r="S10" s="289"/>
    </row>
    <row r="11" spans="1:28" x14ac:dyDescent="0.4">
      <c r="A11" s="303"/>
      <c r="B11" s="304" t="s">
        <v>267</v>
      </c>
      <c r="C11" s="305"/>
      <c r="D11" s="305"/>
      <c r="E11" s="305"/>
      <c r="F11" s="305"/>
      <c r="G11" s="306"/>
      <c r="S11" s="289"/>
    </row>
    <row r="12" spans="1:28" x14ac:dyDescent="0.4">
      <c r="A12" s="303"/>
      <c r="B12" s="304" t="s">
        <v>263</v>
      </c>
      <c r="C12" s="305"/>
      <c r="D12" s="305"/>
      <c r="E12" s="305"/>
      <c r="F12" s="305"/>
      <c r="G12" s="306"/>
      <c r="S12" s="289"/>
    </row>
    <row r="13" spans="1:28" x14ac:dyDescent="0.4">
      <c r="A13" s="303"/>
      <c r="B13" s="304" t="s">
        <v>262</v>
      </c>
      <c r="C13" s="305"/>
      <c r="D13" s="305"/>
      <c r="E13" s="305"/>
      <c r="F13" s="305"/>
      <c r="G13" s="306"/>
      <c r="S13" s="289"/>
    </row>
    <row r="14" spans="1:28" x14ac:dyDescent="0.4">
      <c r="A14" s="303"/>
      <c r="B14" s="304" t="s">
        <v>261</v>
      </c>
      <c r="C14" s="305"/>
      <c r="D14" s="305"/>
      <c r="E14" s="305"/>
      <c r="F14" s="305"/>
      <c r="G14" s="306"/>
      <c r="S14" s="289"/>
    </row>
    <row r="15" spans="1:28" x14ac:dyDescent="0.4">
      <c r="A15" s="303"/>
      <c r="B15" s="304" t="s">
        <v>268</v>
      </c>
      <c r="C15" s="305"/>
      <c r="D15" s="305"/>
      <c r="E15" s="305"/>
      <c r="F15" s="305"/>
      <c r="G15" s="306"/>
      <c r="S15" s="289"/>
    </row>
    <row r="16" spans="1:28" x14ac:dyDescent="0.4">
      <c r="A16" s="303"/>
      <c r="B16" s="304" t="s">
        <v>269</v>
      </c>
      <c r="C16" s="305"/>
      <c r="D16" s="305"/>
      <c r="E16" s="305"/>
      <c r="F16" s="305"/>
      <c r="G16" s="306"/>
      <c r="S16" s="289"/>
    </row>
    <row r="17" spans="1:19" x14ac:dyDescent="0.4">
      <c r="A17" s="303"/>
      <c r="B17" s="307" t="s">
        <v>174</v>
      </c>
      <c r="C17" s="305"/>
      <c r="D17" s="305"/>
      <c r="E17" s="305"/>
      <c r="F17" s="305"/>
      <c r="G17" s="306"/>
      <c r="S17" s="289"/>
    </row>
    <row r="18" spans="1:19" x14ac:dyDescent="0.4">
      <c r="A18" s="303"/>
      <c r="B18" s="304" t="s">
        <v>170</v>
      </c>
      <c r="C18" s="305"/>
      <c r="D18" s="305"/>
      <c r="E18" s="305"/>
      <c r="F18" s="305"/>
      <c r="G18" s="306"/>
      <c r="S18" s="289"/>
    </row>
    <row r="19" spans="1:19" x14ac:dyDescent="0.4">
      <c r="A19" s="303"/>
      <c r="B19" s="304" t="s">
        <v>175</v>
      </c>
      <c r="C19" s="305"/>
      <c r="D19" s="305"/>
      <c r="E19" s="305"/>
      <c r="F19" s="305"/>
      <c r="G19" s="306"/>
      <c r="S19" s="289"/>
    </row>
    <row r="20" spans="1:19" x14ac:dyDescent="0.4">
      <c r="A20" s="303"/>
      <c r="B20" s="304" t="s">
        <v>264</v>
      </c>
      <c r="C20" s="305"/>
      <c r="D20" s="305"/>
      <c r="E20" s="305"/>
      <c r="F20" s="305"/>
      <c r="G20" s="306"/>
      <c r="S20" s="289"/>
    </row>
    <row r="21" spans="1:19" x14ac:dyDescent="0.4">
      <c r="A21" s="303"/>
      <c r="B21" s="304" t="s">
        <v>265</v>
      </c>
      <c r="C21" s="305"/>
      <c r="D21" s="305"/>
      <c r="E21" s="305"/>
      <c r="F21" s="305"/>
      <c r="G21" s="306"/>
      <c r="S21" s="289"/>
    </row>
    <row r="22" spans="1:19" x14ac:dyDescent="0.4">
      <c r="A22" s="303"/>
      <c r="B22" s="304" t="s">
        <v>266</v>
      </c>
      <c r="C22" s="305"/>
      <c r="D22" s="305"/>
      <c r="E22" s="305"/>
      <c r="F22" s="305"/>
      <c r="G22" s="306"/>
      <c r="S22" s="289"/>
    </row>
    <row r="23" spans="1:19" x14ac:dyDescent="0.4">
      <c r="A23" s="303"/>
      <c r="B23" s="308" t="s">
        <v>168</v>
      </c>
      <c r="C23" s="309"/>
      <c r="D23" s="305"/>
      <c r="E23" s="305"/>
      <c r="F23" s="305"/>
      <c r="G23" s="306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6"/>
    </row>
    <row r="24" spans="1:19" x14ac:dyDescent="0.4">
      <c r="A24" s="303"/>
      <c r="B24" s="304" t="s">
        <v>165</v>
      </c>
      <c r="C24" s="305"/>
      <c r="D24" s="305"/>
      <c r="E24" s="305"/>
      <c r="F24" s="305"/>
      <c r="G24" s="306"/>
      <c r="S24" s="289"/>
    </row>
    <row r="25" spans="1:19" x14ac:dyDescent="0.4">
      <c r="A25" s="303"/>
      <c r="B25" s="304" t="s">
        <v>164</v>
      </c>
      <c r="C25" s="305"/>
      <c r="D25" s="305"/>
      <c r="E25" s="305"/>
      <c r="F25" s="305"/>
      <c r="G25" s="306"/>
      <c r="S25" s="289"/>
    </row>
    <row r="26" spans="1:19" x14ac:dyDescent="0.4">
      <c r="A26" s="303"/>
      <c r="B26" s="304" t="s">
        <v>40</v>
      </c>
      <c r="C26" s="305"/>
      <c r="D26" s="305"/>
      <c r="E26" s="310">
        <f>135*0.88</f>
        <v>118.8</v>
      </c>
      <c r="F26" s="305">
        <v>48.7</v>
      </c>
      <c r="G26" s="311">
        <f>F26/16</f>
        <v>3.0437500000000002</v>
      </c>
      <c r="P26" s="312"/>
      <c r="R26" s="313"/>
      <c r="S26" s="289"/>
    </row>
    <row r="27" spans="1:19" x14ac:dyDescent="0.4">
      <c r="A27" s="303"/>
      <c r="B27" s="304" t="s">
        <v>64</v>
      </c>
      <c r="C27" s="305"/>
      <c r="D27" s="305"/>
      <c r="E27" s="310">
        <f>199*0.88</f>
        <v>175.12</v>
      </c>
      <c r="F27" s="314">
        <v>50.7</v>
      </c>
      <c r="G27" s="311">
        <f>F27/16</f>
        <v>3.1687500000000002</v>
      </c>
      <c r="R27" s="313"/>
      <c r="S27" s="289"/>
    </row>
    <row r="28" spans="1:19" x14ac:dyDescent="0.4">
      <c r="A28" s="303"/>
      <c r="B28" s="304" t="s">
        <v>76</v>
      </c>
      <c r="C28" s="305"/>
      <c r="D28" s="305"/>
      <c r="E28" s="310">
        <f>44*0.88</f>
        <v>38.72</v>
      </c>
      <c r="F28" s="314">
        <v>5.9</v>
      </c>
      <c r="G28" s="311">
        <f>F28/16</f>
        <v>0.36875000000000002</v>
      </c>
      <c r="P28" s="312"/>
      <c r="R28" s="313"/>
      <c r="S28" s="289"/>
    </row>
    <row r="29" spans="1:19" x14ac:dyDescent="0.4">
      <c r="A29" s="303"/>
      <c r="B29" s="304" t="s">
        <v>77</v>
      </c>
      <c r="C29" s="305"/>
      <c r="D29" s="305"/>
      <c r="E29" s="310">
        <f>19*0.88</f>
        <v>16.72</v>
      </c>
      <c r="F29" s="314">
        <f>0.8*2</f>
        <v>1.6</v>
      </c>
      <c r="G29" s="311">
        <f>F29/16</f>
        <v>0.1</v>
      </c>
      <c r="P29" s="312"/>
      <c r="R29" s="313"/>
      <c r="S29" s="289"/>
    </row>
    <row r="30" spans="1:19" x14ac:dyDescent="0.4">
      <c r="A30" s="303"/>
      <c r="B30" s="304" t="s">
        <v>207</v>
      </c>
      <c r="C30" s="305" t="s">
        <v>84</v>
      </c>
      <c r="D30" s="305">
        <v>1</v>
      </c>
      <c r="E30" s="310">
        <v>34</v>
      </c>
      <c r="F30" s="314">
        <v>5.9</v>
      </c>
      <c r="G30" s="311">
        <f>F30/16</f>
        <v>0.36875000000000002</v>
      </c>
      <c r="P30" s="312"/>
      <c r="R30" s="313"/>
      <c r="S30" s="289"/>
    </row>
    <row r="31" spans="1:19" x14ac:dyDescent="0.4">
      <c r="A31" s="303"/>
      <c r="B31" s="304" t="s">
        <v>208</v>
      </c>
      <c r="C31" s="305"/>
      <c r="D31" s="305">
        <v>1</v>
      </c>
      <c r="E31" s="310"/>
      <c r="F31" s="314"/>
      <c r="G31" s="311"/>
      <c r="P31" s="312"/>
      <c r="R31" s="313"/>
      <c r="S31" s="289"/>
    </row>
    <row r="32" spans="1:19" x14ac:dyDescent="0.4">
      <c r="A32" s="303"/>
      <c r="B32" s="304" t="s">
        <v>208</v>
      </c>
      <c r="C32" s="305"/>
      <c r="D32" s="305">
        <v>1</v>
      </c>
      <c r="E32" s="310"/>
      <c r="F32" s="314"/>
      <c r="G32" s="311"/>
      <c r="P32" s="312"/>
      <c r="R32" s="313"/>
      <c r="S32" s="289"/>
    </row>
    <row r="33" spans="1:19" x14ac:dyDescent="0.4">
      <c r="A33" s="303"/>
      <c r="B33" s="304" t="s">
        <v>244</v>
      </c>
      <c r="C33" s="305"/>
      <c r="D33" s="305">
        <v>1</v>
      </c>
      <c r="E33" s="310"/>
      <c r="F33" s="314"/>
      <c r="G33" s="311"/>
      <c r="P33" s="312"/>
      <c r="R33" s="313"/>
      <c r="S33" s="289"/>
    </row>
    <row r="34" spans="1:19" x14ac:dyDescent="0.4">
      <c r="A34" s="303"/>
      <c r="B34" s="304" t="s">
        <v>245</v>
      </c>
      <c r="C34" s="305" t="s">
        <v>246</v>
      </c>
      <c r="D34" s="305">
        <v>1</v>
      </c>
      <c r="E34" s="315">
        <v>21</v>
      </c>
      <c r="F34" s="305">
        <v>5.2</v>
      </c>
      <c r="G34" s="311"/>
      <c r="K34" s="316"/>
      <c r="S34" s="289"/>
    </row>
    <row r="35" spans="1:19" x14ac:dyDescent="0.4">
      <c r="A35" s="303"/>
      <c r="B35" s="304" t="s">
        <v>216</v>
      </c>
      <c r="C35" s="305" t="s">
        <v>111</v>
      </c>
      <c r="D35" s="305">
        <v>1</v>
      </c>
      <c r="E35" s="315">
        <v>258</v>
      </c>
      <c r="F35" s="305">
        <v>30.6</v>
      </c>
      <c r="G35" s="311">
        <f>F35/16</f>
        <v>1.9125000000000001</v>
      </c>
      <c r="K35" s="316"/>
      <c r="S35" s="289"/>
    </row>
    <row r="36" spans="1:19" x14ac:dyDescent="0.4">
      <c r="A36" s="303"/>
      <c r="B36" s="304" t="s">
        <v>217</v>
      </c>
      <c r="C36" s="305" t="s">
        <v>71</v>
      </c>
      <c r="D36" s="305">
        <v>1</v>
      </c>
      <c r="E36" s="315">
        <v>35.89</v>
      </c>
      <c r="F36" s="305">
        <v>4</v>
      </c>
      <c r="G36" s="311">
        <f>F36/16</f>
        <v>0.25</v>
      </c>
      <c r="K36" s="316"/>
      <c r="M36" s="281" t="s">
        <v>122</v>
      </c>
      <c r="P36" s="317"/>
      <c r="Q36" s="318"/>
      <c r="R36" s="318"/>
      <c r="S36" s="319"/>
    </row>
    <row r="37" spans="1:19" x14ac:dyDescent="0.4">
      <c r="A37" s="303"/>
      <c r="B37" s="304" t="s">
        <v>218</v>
      </c>
      <c r="C37" s="305" t="s">
        <v>75</v>
      </c>
      <c r="D37" s="305">
        <v>1</v>
      </c>
      <c r="E37" s="315">
        <v>143.96</v>
      </c>
      <c r="F37" s="305">
        <v>21</v>
      </c>
      <c r="G37" s="311">
        <f>F37/16</f>
        <v>1.3125</v>
      </c>
      <c r="K37" s="316"/>
      <c r="M37" s="281" t="s">
        <v>122</v>
      </c>
      <c r="S37" s="289"/>
    </row>
    <row r="38" spans="1:19" x14ac:dyDescent="0.4">
      <c r="A38" s="303"/>
      <c r="B38" s="304" t="s">
        <v>219</v>
      </c>
      <c r="C38" s="305" t="s">
        <v>69</v>
      </c>
      <c r="D38" s="305">
        <v>1</v>
      </c>
      <c r="E38" s="315">
        <v>49.95</v>
      </c>
      <c r="F38" s="305">
        <v>7.4</v>
      </c>
      <c r="G38" s="311">
        <f>F38/16</f>
        <v>0.46250000000000002</v>
      </c>
      <c r="K38" s="316"/>
      <c r="M38" s="281" t="s">
        <v>122</v>
      </c>
      <c r="S38" s="289"/>
    </row>
    <row r="39" spans="1:19" x14ac:dyDescent="0.4">
      <c r="A39" s="303"/>
      <c r="B39" s="304" t="s">
        <v>255</v>
      </c>
      <c r="C39" s="305" t="s">
        <v>258</v>
      </c>
      <c r="D39" s="305"/>
      <c r="E39" s="315"/>
      <c r="F39" s="305"/>
      <c r="G39" s="311"/>
      <c r="K39" s="316"/>
      <c r="S39" s="289"/>
    </row>
    <row r="40" spans="1:19" x14ac:dyDescent="0.4">
      <c r="A40" s="303"/>
      <c r="B40" s="304" t="s">
        <v>256</v>
      </c>
      <c r="C40" s="305" t="s">
        <v>69</v>
      </c>
      <c r="D40" s="305"/>
      <c r="E40" s="315"/>
      <c r="F40" s="305"/>
      <c r="G40" s="311"/>
      <c r="K40" s="316"/>
      <c r="S40" s="289"/>
    </row>
    <row r="41" spans="1:19" x14ac:dyDescent="0.4">
      <c r="A41" s="303"/>
      <c r="B41" s="304" t="s">
        <v>257</v>
      </c>
      <c r="C41" s="305"/>
      <c r="D41" s="305"/>
      <c r="E41" s="315"/>
      <c r="F41" s="305"/>
      <c r="G41" s="311"/>
      <c r="K41" s="316"/>
      <c r="S41" s="289"/>
    </row>
    <row r="42" spans="1:19" x14ac:dyDescent="0.4">
      <c r="A42" s="303"/>
      <c r="B42" s="307" t="s">
        <v>184</v>
      </c>
      <c r="C42" s="305" t="s">
        <v>148</v>
      </c>
      <c r="D42" s="305"/>
      <c r="E42" s="315"/>
      <c r="F42" s="305"/>
      <c r="G42" s="311"/>
      <c r="K42" s="316"/>
      <c r="O42" s="281" t="s">
        <v>177</v>
      </c>
      <c r="S42" s="289"/>
    </row>
    <row r="43" spans="1:19" x14ac:dyDescent="0.4">
      <c r="A43" s="303"/>
      <c r="B43" s="304" t="s">
        <v>220</v>
      </c>
      <c r="C43" s="305" t="s">
        <v>124</v>
      </c>
      <c r="D43" s="305"/>
      <c r="E43" s="305"/>
      <c r="F43" s="305">
        <f>G43*16</f>
        <v>104</v>
      </c>
      <c r="G43" s="306">
        <v>6.5</v>
      </c>
      <c r="S43" s="289"/>
    </row>
    <row r="44" spans="1:19" x14ac:dyDescent="0.4">
      <c r="A44" s="303"/>
      <c r="B44" s="304" t="s">
        <v>221</v>
      </c>
      <c r="C44" s="305" t="s">
        <v>126</v>
      </c>
      <c r="D44" s="305"/>
      <c r="E44" s="305"/>
      <c r="F44" s="305">
        <v>15.9</v>
      </c>
      <c r="G44" s="311">
        <f>F44/16</f>
        <v>0.99375000000000002</v>
      </c>
      <c r="S44" s="289"/>
    </row>
    <row r="45" spans="1:19" x14ac:dyDescent="0.4">
      <c r="A45" s="303"/>
      <c r="B45" s="307" t="s">
        <v>222</v>
      </c>
      <c r="C45" s="305" t="s">
        <v>166</v>
      </c>
      <c r="D45" s="305"/>
      <c r="E45" s="305"/>
      <c r="F45" s="305" t="s">
        <v>167</v>
      </c>
      <c r="G45" s="311" t="e">
        <f>F45/16</f>
        <v>#VALUE!</v>
      </c>
      <c r="S45" s="289"/>
    </row>
    <row r="46" spans="1:19" x14ac:dyDescent="0.4">
      <c r="A46" s="303"/>
      <c r="B46" s="304" t="s">
        <v>146</v>
      </c>
      <c r="C46" s="305"/>
      <c r="D46" s="305"/>
      <c r="E46" s="305"/>
      <c r="F46" s="305"/>
      <c r="G46" s="306"/>
      <c r="S46" s="289"/>
    </row>
    <row r="47" spans="1:19" x14ac:dyDescent="0.4">
      <c r="A47" s="303"/>
      <c r="B47" s="304" t="s">
        <v>178</v>
      </c>
      <c r="C47" s="305"/>
      <c r="D47" s="305"/>
      <c r="E47" s="305"/>
      <c r="F47" s="305"/>
      <c r="G47" s="306"/>
      <c r="S47" s="289"/>
    </row>
    <row r="48" spans="1:19" x14ac:dyDescent="0.4">
      <c r="A48" s="303"/>
      <c r="B48" s="304" t="s">
        <v>145</v>
      </c>
      <c r="C48" s="305"/>
      <c r="D48" s="305"/>
      <c r="E48" s="305"/>
      <c r="F48" s="305">
        <f>G48*16</f>
        <v>8</v>
      </c>
      <c r="G48" s="311">
        <v>0.5</v>
      </c>
      <c r="S48" s="289"/>
    </row>
    <row r="49" spans="1:19" x14ac:dyDescent="0.4">
      <c r="A49" s="303"/>
      <c r="B49" s="304" t="s">
        <v>134</v>
      </c>
      <c r="C49" s="305" t="s">
        <v>223</v>
      </c>
      <c r="D49" s="305"/>
      <c r="E49" s="315">
        <v>151</v>
      </c>
      <c r="F49" s="305">
        <v>15.9</v>
      </c>
      <c r="G49" s="311"/>
      <c r="K49" s="316"/>
      <c r="P49" s="312"/>
      <c r="R49" s="313"/>
      <c r="S49" s="289"/>
    </row>
    <row r="50" spans="1:19" x14ac:dyDescent="0.4">
      <c r="A50" s="303"/>
      <c r="B50" s="304" t="s">
        <v>179</v>
      </c>
      <c r="C50" s="305"/>
      <c r="D50" s="305"/>
      <c r="E50" s="305"/>
      <c r="F50" s="305"/>
      <c r="G50" s="311"/>
      <c r="S50" s="289"/>
    </row>
    <row r="51" spans="1:19" x14ac:dyDescent="0.4">
      <c r="A51" s="303"/>
      <c r="B51" s="304" t="s">
        <v>270</v>
      </c>
      <c r="C51" s="305"/>
      <c r="D51" s="305"/>
      <c r="E51" s="305"/>
      <c r="F51" s="305">
        <v>0.7</v>
      </c>
      <c r="G51" s="311">
        <f>F51/16</f>
        <v>4.3749999999999997E-2</v>
      </c>
      <c r="O51" s="281" t="s">
        <v>177</v>
      </c>
      <c r="S51" s="289"/>
    </row>
    <row r="52" spans="1:19" x14ac:dyDescent="0.4">
      <c r="A52" s="303"/>
      <c r="B52" s="304" t="s">
        <v>229</v>
      </c>
      <c r="C52" s="305" t="s">
        <v>65</v>
      </c>
      <c r="D52" s="305"/>
      <c r="E52" s="315">
        <v>144</v>
      </c>
      <c r="F52" s="305">
        <v>14</v>
      </c>
      <c r="G52" s="311">
        <f t="shared" ref="G52:G57" si="0">F52/16</f>
        <v>0.875</v>
      </c>
      <c r="P52" s="312"/>
      <c r="R52" s="313"/>
      <c r="S52" s="289"/>
    </row>
    <row r="53" spans="1:19" x14ac:dyDescent="0.4">
      <c r="A53" s="303"/>
      <c r="B53" s="304" t="s">
        <v>230</v>
      </c>
      <c r="C53" s="305" t="s">
        <v>276</v>
      </c>
      <c r="D53" s="305">
        <v>1</v>
      </c>
      <c r="E53" s="315">
        <v>4.95</v>
      </c>
      <c r="F53" s="305">
        <v>13.4</v>
      </c>
      <c r="G53" s="311">
        <f t="shared" si="0"/>
        <v>0.83750000000000002</v>
      </c>
      <c r="N53" s="281" t="s">
        <v>224</v>
      </c>
      <c r="O53" s="281" t="s">
        <v>177</v>
      </c>
      <c r="S53" s="289"/>
    </row>
    <row r="54" spans="1:19" x14ac:dyDescent="0.4">
      <c r="A54" s="303"/>
      <c r="B54" s="304" t="s">
        <v>254</v>
      </c>
      <c r="C54" s="305"/>
      <c r="D54" s="305"/>
      <c r="E54" s="315"/>
      <c r="F54" s="305"/>
      <c r="G54" s="311"/>
      <c r="P54" s="317"/>
      <c r="Q54" s="318"/>
      <c r="R54" s="318"/>
      <c r="S54" s="319"/>
    </row>
    <row r="55" spans="1:19" x14ac:dyDescent="0.4">
      <c r="A55" s="303"/>
      <c r="B55" s="304" t="s">
        <v>225</v>
      </c>
      <c r="C55" s="305" t="s">
        <v>226</v>
      </c>
      <c r="D55" s="305"/>
      <c r="E55" s="315">
        <v>8.9499999999999993</v>
      </c>
      <c r="F55" s="305">
        <v>0.63</v>
      </c>
      <c r="G55" s="311">
        <f t="shared" si="0"/>
        <v>3.9375E-2</v>
      </c>
      <c r="K55" s="316"/>
      <c r="O55" s="320"/>
      <c r="P55" s="320"/>
      <c r="R55" s="313"/>
      <c r="S55" s="289"/>
    </row>
    <row r="56" spans="1:19" x14ac:dyDescent="0.4">
      <c r="A56" s="303"/>
      <c r="B56" s="304" t="s">
        <v>271</v>
      </c>
      <c r="C56" s="305"/>
      <c r="D56" s="305"/>
      <c r="E56" s="315"/>
      <c r="F56" s="305"/>
      <c r="G56" s="311"/>
      <c r="K56" s="316"/>
      <c r="O56" s="320"/>
      <c r="P56" s="320"/>
      <c r="R56" s="313"/>
      <c r="S56" s="289"/>
    </row>
    <row r="57" spans="1:19" x14ac:dyDescent="0.4">
      <c r="A57" s="303"/>
      <c r="B57" s="304" t="s">
        <v>227</v>
      </c>
      <c r="C57" s="305" t="s">
        <v>228</v>
      </c>
      <c r="D57" s="305"/>
      <c r="E57" s="315">
        <v>19.95</v>
      </c>
      <c r="F57" s="305">
        <v>2.7</v>
      </c>
      <c r="G57" s="311">
        <f t="shared" si="0"/>
        <v>0.16875000000000001</v>
      </c>
      <c r="K57" s="316"/>
      <c r="O57" s="320"/>
      <c r="P57" s="320"/>
      <c r="R57" s="313"/>
      <c r="S57" s="289"/>
    </row>
    <row r="58" spans="1:19" x14ac:dyDescent="0.4">
      <c r="A58" s="303"/>
      <c r="B58" s="304" t="s">
        <v>135</v>
      </c>
      <c r="C58" s="305"/>
      <c r="D58" s="305"/>
      <c r="E58" s="315"/>
      <c r="F58" s="305"/>
      <c r="G58" s="311"/>
      <c r="K58" s="316"/>
      <c r="R58" s="313"/>
      <c r="S58" s="289"/>
    </row>
    <row r="59" spans="1:19" x14ac:dyDescent="0.4">
      <c r="A59" s="303"/>
      <c r="B59" s="304" t="s">
        <v>147</v>
      </c>
      <c r="C59" s="305"/>
      <c r="D59" s="305"/>
      <c r="E59" s="315"/>
      <c r="F59" s="305"/>
      <c r="G59" s="311"/>
      <c r="K59" s="316"/>
      <c r="N59" s="281" t="s">
        <v>182</v>
      </c>
      <c r="P59" s="312"/>
      <c r="R59" s="313"/>
      <c r="S59" s="289"/>
    </row>
    <row r="60" spans="1:19" x14ac:dyDescent="0.4">
      <c r="A60" s="303"/>
      <c r="B60" s="304" t="s">
        <v>183</v>
      </c>
      <c r="C60" s="305"/>
      <c r="D60" s="305"/>
      <c r="E60" s="315"/>
      <c r="F60" s="305"/>
      <c r="G60" s="311"/>
      <c r="K60" s="316"/>
      <c r="P60" s="312"/>
      <c r="R60" s="313"/>
      <c r="S60" s="289"/>
    </row>
    <row r="61" spans="1:19" x14ac:dyDescent="0.4">
      <c r="A61" s="303"/>
      <c r="B61" s="304" t="s">
        <v>68</v>
      </c>
      <c r="C61" s="305"/>
      <c r="D61" s="305"/>
      <c r="E61" s="315">
        <v>299</v>
      </c>
      <c r="F61" s="305">
        <v>3.5</v>
      </c>
      <c r="G61" s="311">
        <f>F61/16</f>
        <v>0.21875</v>
      </c>
      <c r="S61" s="289"/>
    </row>
    <row r="62" spans="1:19" x14ac:dyDescent="0.4">
      <c r="A62" s="303"/>
      <c r="B62" s="304" t="s">
        <v>72</v>
      </c>
      <c r="C62" s="305"/>
      <c r="D62" s="305"/>
      <c r="E62" s="315">
        <v>5</v>
      </c>
      <c r="F62" s="305">
        <v>4</v>
      </c>
      <c r="G62" s="311">
        <f>F62/16</f>
        <v>0.25</v>
      </c>
      <c r="S62" s="289"/>
    </row>
    <row r="63" spans="1:19" x14ac:dyDescent="0.4">
      <c r="A63" s="303"/>
      <c r="B63" s="304" t="s">
        <v>83</v>
      </c>
      <c r="C63" s="305"/>
      <c r="D63" s="305"/>
      <c r="E63" s="315">
        <v>59.89</v>
      </c>
      <c r="F63" s="305">
        <v>5</v>
      </c>
      <c r="G63" s="311">
        <f>F63/16</f>
        <v>0.3125</v>
      </c>
      <c r="S63" s="289"/>
    </row>
    <row r="64" spans="1:19" x14ac:dyDescent="0.4">
      <c r="A64" s="303"/>
      <c r="B64" s="304" t="s">
        <v>277</v>
      </c>
      <c r="C64" s="305"/>
      <c r="D64" s="305"/>
      <c r="E64" s="315">
        <v>4.95</v>
      </c>
      <c r="F64" s="305"/>
      <c r="G64" s="311"/>
      <c r="K64" s="316"/>
      <c r="M64" s="281" t="s">
        <v>122</v>
      </c>
      <c r="S64" s="289"/>
    </row>
    <row r="65" spans="1:19" x14ac:dyDescent="0.4">
      <c r="A65" s="303"/>
      <c r="B65" s="304" t="s">
        <v>139</v>
      </c>
      <c r="C65" s="305"/>
      <c r="D65" s="305"/>
      <c r="E65" s="315"/>
      <c r="F65" s="305"/>
      <c r="G65" s="311"/>
      <c r="S65" s="289"/>
    </row>
    <row r="66" spans="1:19" x14ac:dyDescent="0.4">
      <c r="A66" s="303"/>
      <c r="B66" s="304" t="s">
        <v>181</v>
      </c>
      <c r="C66" s="305"/>
      <c r="D66" s="305"/>
      <c r="E66" s="315"/>
      <c r="F66" s="305"/>
      <c r="G66" s="311"/>
      <c r="S66" s="289"/>
    </row>
    <row r="67" spans="1:19" x14ac:dyDescent="0.4">
      <c r="A67" s="303"/>
      <c r="B67" s="304" t="s">
        <v>180</v>
      </c>
      <c r="C67" s="305"/>
      <c r="D67" s="305"/>
      <c r="E67" s="315"/>
      <c r="F67" s="305"/>
      <c r="G67" s="311"/>
      <c r="O67" s="281" t="s">
        <v>177</v>
      </c>
      <c r="S67" s="289"/>
    </row>
    <row r="68" spans="1:19" x14ac:dyDescent="0.4">
      <c r="A68" s="303"/>
      <c r="B68" s="304" t="s">
        <v>142</v>
      </c>
      <c r="C68" s="305"/>
      <c r="D68" s="305"/>
      <c r="E68" s="315"/>
      <c r="F68" s="305"/>
      <c r="G68" s="311"/>
      <c r="S68" s="289"/>
    </row>
    <row r="69" spans="1:19" x14ac:dyDescent="0.4">
      <c r="A69" s="303"/>
      <c r="B69" s="304" t="s">
        <v>143</v>
      </c>
      <c r="C69" s="305"/>
      <c r="D69" s="305">
        <v>4</v>
      </c>
      <c r="E69" s="315"/>
      <c r="F69" s="305"/>
      <c r="G69" s="311"/>
      <c r="S69" s="289"/>
    </row>
    <row r="70" spans="1:19" x14ac:dyDescent="0.4">
      <c r="A70" s="303"/>
      <c r="B70" s="304" t="s">
        <v>144</v>
      </c>
      <c r="C70" s="305"/>
      <c r="D70" s="305"/>
      <c r="E70" s="315"/>
      <c r="F70" s="305"/>
      <c r="G70" s="311"/>
      <c r="S70" s="289"/>
    </row>
    <row r="71" spans="1:19" x14ac:dyDescent="0.4">
      <c r="A71" s="303"/>
      <c r="B71" s="304" t="s">
        <v>120</v>
      </c>
      <c r="C71" s="305"/>
      <c r="D71" s="305"/>
      <c r="E71" s="315"/>
      <c r="F71" s="305"/>
      <c r="G71" s="311"/>
      <c r="S71" s="289"/>
    </row>
    <row r="72" spans="1:19" x14ac:dyDescent="0.4">
      <c r="A72" s="303"/>
      <c r="B72" s="304" t="s">
        <v>140</v>
      </c>
      <c r="C72" s="305"/>
      <c r="D72" s="305">
        <v>20</v>
      </c>
      <c r="E72" s="315"/>
      <c r="F72" s="305"/>
      <c r="G72" s="311"/>
      <c r="S72" s="289"/>
    </row>
    <row r="73" spans="1:19" x14ac:dyDescent="0.4">
      <c r="A73" s="303"/>
      <c r="B73" s="304" t="s">
        <v>204</v>
      </c>
      <c r="C73" s="305"/>
      <c r="D73" s="305"/>
      <c r="E73" s="315"/>
      <c r="F73" s="305"/>
      <c r="G73" s="311"/>
      <c r="S73" s="289"/>
    </row>
    <row r="74" spans="1:19" x14ac:dyDescent="0.4">
      <c r="A74" s="303"/>
      <c r="B74" s="304" t="s">
        <v>231</v>
      </c>
      <c r="C74" s="305"/>
      <c r="D74" s="305"/>
      <c r="E74" s="315"/>
      <c r="F74" s="305"/>
      <c r="G74" s="311"/>
      <c r="S74" s="289"/>
    </row>
    <row r="75" spans="1:19" x14ac:dyDescent="0.4">
      <c r="A75" s="303"/>
      <c r="B75" s="304" t="s">
        <v>205</v>
      </c>
      <c r="C75" s="305"/>
      <c r="D75" s="305"/>
      <c r="E75" s="315"/>
      <c r="F75" s="305"/>
      <c r="G75" s="311"/>
      <c r="S75" s="289"/>
    </row>
    <row r="76" spans="1:19" x14ac:dyDescent="0.4">
      <c r="A76" s="303"/>
      <c r="B76" s="304" t="s">
        <v>198</v>
      </c>
      <c r="C76" s="305"/>
      <c r="D76" s="305"/>
      <c r="E76" s="315"/>
      <c r="F76" s="305"/>
      <c r="G76" s="311"/>
      <c r="S76" s="289"/>
    </row>
    <row r="77" spans="1:19" x14ac:dyDescent="0.4">
      <c r="A77" s="303"/>
      <c r="B77" s="304" t="s">
        <v>206</v>
      </c>
      <c r="C77" s="305"/>
      <c r="D77" s="305"/>
      <c r="E77" s="305"/>
      <c r="F77" s="305"/>
      <c r="G77" s="306"/>
      <c r="S77" s="289"/>
    </row>
    <row r="78" spans="1:19" x14ac:dyDescent="0.4">
      <c r="A78" s="303"/>
      <c r="B78" s="304" t="s">
        <v>209</v>
      </c>
      <c r="C78" s="305"/>
      <c r="D78" s="305"/>
      <c r="E78" s="305"/>
      <c r="F78" s="305"/>
      <c r="G78" s="306"/>
      <c r="S78" s="289"/>
    </row>
    <row r="79" spans="1:19" x14ac:dyDescent="0.4">
      <c r="A79" s="303"/>
      <c r="B79" s="304" t="s">
        <v>5</v>
      </c>
      <c r="C79" s="305" t="s">
        <v>85</v>
      </c>
      <c r="D79" s="305"/>
      <c r="E79" s="315">
        <v>50</v>
      </c>
      <c r="F79" s="305">
        <v>4.2</v>
      </c>
      <c r="G79" s="311">
        <f>F79/16</f>
        <v>0.26250000000000001</v>
      </c>
      <c r="S79" s="289"/>
    </row>
    <row r="80" spans="1:19" x14ac:dyDescent="0.4">
      <c r="A80" s="303"/>
      <c r="B80" s="304" t="s">
        <v>162</v>
      </c>
      <c r="C80" s="305" t="s">
        <v>278</v>
      </c>
      <c r="D80" s="305"/>
      <c r="E80" s="315">
        <v>80</v>
      </c>
      <c r="F80" s="305">
        <v>10</v>
      </c>
      <c r="G80" s="311">
        <f>F80/16</f>
        <v>0.625</v>
      </c>
      <c r="S80" s="289"/>
    </row>
    <row r="81" spans="1:19" x14ac:dyDescent="0.4">
      <c r="A81" s="303"/>
      <c r="B81" s="321" t="s">
        <v>250</v>
      </c>
      <c r="C81" s="322" t="s">
        <v>251</v>
      </c>
      <c r="D81" s="322">
        <v>5</v>
      </c>
      <c r="E81" s="323">
        <v>100</v>
      </c>
      <c r="F81" s="322"/>
      <c r="G81" s="354"/>
      <c r="O81" s="324"/>
      <c r="P81" s="324"/>
      <c r="Q81" s="324"/>
      <c r="R81" s="324"/>
      <c r="S81" s="325"/>
    </row>
    <row r="82" spans="1:19" x14ac:dyDescent="0.4">
      <c r="A82" s="303"/>
      <c r="B82" s="326" t="s">
        <v>187</v>
      </c>
      <c r="C82" s="327"/>
      <c r="D82" s="293"/>
      <c r="E82" s="328"/>
      <c r="F82" s="293"/>
      <c r="G82" s="355"/>
      <c r="H82" s="295"/>
      <c r="I82" s="295"/>
      <c r="J82" s="295"/>
      <c r="K82" s="295"/>
      <c r="L82" s="295"/>
      <c r="M82" s="295"/>
      <c r="N82" s="296"/>
      <c r="O82" s="295"/>
      <c r="P82" s="295"/>
      <c r="Q82" s="295"/>
      <c r="R82" s="295"/>
      <c r="S82" s="296"/>
    </row>
    <row r="83" spans="1:19" x14ac:dyDescent="0.4">
      <c r="A83" s="303"/>
      <c r="B83" s="329" t="s">
        <v>189</v>
      </c>
      <c r="C83" s="330" t="s">
        <v>272</v>
      </c>
      <c r="D83" s="305">
        <v>1</v>
      </c>
      <c r="E83" s="315">
        <v>170</v>
      </c>
      <c r="F83" s="305">
        <f>G83*16</f>
        <v>63.36</v>
      </c>
      <c r="G83" s="314">
        <v>3.96</v>
      </c>
      <c r="N83" s="289"/>
      <c r="S83" s="289"/>
    </row>
    <row r="84" spans="1:19" x14ac:dyDescent="0.4">
      <c r="A84" s="303"/>
      <c r="B84" s="329" t="s">
        <v>190</v>
      </c>
      <c r="C84" s="330" t="s">
        <v>235</v>
      </c>
      <c r="D84" s="305">
        <v>1</v>
      </c>
      <c r="E84" s="315">
        <v>55</v>
      </c>
      <c r="F84" s="305"/>
      <c r="G84" s="314"/>
      <c r="N84" s="289"/>
      <c r="S84" s="289"/>
    </row>
    <row r="85" spans="1:19" x14ac:dyDescent="0.4">
      <c r="A85" s="303"/>
      <c r="B85" s="329" t="s">
        <v>191</v>
      </c>
      <c r="C85" s="330" t="s">
        <v>273</v>
      </c>
      <c r="D85" s="305">
        <v>3</v>
      </c>
      <c r="E85" s="315"/>
      <c r="F85" s="305"/>
      <c r="G85" s="314"/>
      <c r="N85" s="289"/>
      <c r="S85" s="289"/>
    </row>
    <row r="86" spans="1:19" x14ac:dyDescent="0.4">
      <c r="A86" s="303"/>
      <c r="B86" s="329" t="s">
        <v>200</v>
      </c>
      <c r="C86" s="330" t="s">
        <v>234</v>
      </c>
      <c r="D86" s="305">
        <v>2</v>
      </c>
      <c r="E86" s="315">
        <v>35</v>
      </c>
      <c r="F86" s="305"/>
      <c r="G86" s="314"/>
      <c r="N86" s="289"/>
      <c r="S86" s="289"/>
    </row>
    <row r="87" spans="1:19" x14ac:dyDescent="0.4">
      <c r="A87" s="303"/>
      <c r="B87" s="329" t="s">
        <v>188</v>
      </c>
      <c r="C87" s="330" t="s">
        <v>249</v>
      </c>
      <c r="D87" s="305">
        <v>1</v>
      </c>
      <c r="E87" s="315"/>
      <c r="F87" s="305">
        <v>6.1</v>
      </c>
      <c r="G87" s="314"/>
      <c r="N87" s="289"/>
      <c r="S87" s="289"/>
    </row>
    <row r="88" spans="1:19" x14ac:dyDescent="0.4">
      <c r="A88" s="303"/>
      <c r="B88" s="329" t="s">
        <v>281</v>
      </c>
      <c r="C88" s="330" t="s">
        <v>279</v>
      </c>
      <c r="D88" s="305">
        <v>1</v>
      </c>
      <c r="E88" s="315"/>
      <c r="F88" s="305"/>
      <c r="G88" s="314"/>
      <c r="N88" s="289"/>
      <c r="S88" s="289"/>
    </row>
    <row r="89" spans="1:19" x14ac:dyDescent="0.4">
      <c r="A89" s="303"/>
      <c r="B89" s="329" t="s">
        <v>236</v>
      </c>
      <c r="C89" s="330" t="s">
        <v>247</v>
      </c>
      <c r="D89" s="305">
        <v>1</v>
      </c>
      <c r="E89" s="315">
        <v>89</v>
      </c>
      <c r="F89" s="305">
        <v>6.7</v>
      </c>
      <c r="G89" s="314"/>
      <c r="N89" s="289"/>
      <c r="S89" s="289"/>
    </row>
    <row r="90" spans="1:19" x14ac:dyDescent="0.4">
      <c r="A90" s="303"/>
      <c r="B90" s="329" t="s">
        <v>241</v>
      </c>
      <c r="C90" s="305" t="s">
        <v>280</v>
      </c>
      <c r="D90" s="305">
        <v>1</v>
      </c>
      <c r="E90" s="315">
        <v>140</v>
      </c>
      <c r="F90" s="305">
        <v>19.5</v>
      </c>
      <c r="G90" s="314"/>
      <c r="N90" s="289"/>
      <c r="S90" s="289"/>
    </row>
    <row r="91" spans="1:19" x14ac:dyDescent="0.4">
      <c r="A91" s="303"/>
      <c r="B91" s="329" t="s">
        <v>192</v>
      </c>
      <c r="C91" s="330" t="s">
        <v>248</v>
      </c>
      <c r="D91" s="331">
        <v>1</v>
      </c>
      <c r="E91" s="332">
        <v>66.75</v>
      </c>
      <c r="F91" s="331">
        <v>9.3000000000000007</v>
      </c>
      <c r="G91" s="314"/>
      <c r="N91" s="289"/>
      <c r="S91" s="289"/>
    </row>
    <row r="92" spans="1:19" x14ac:dyDescent="0.4">
      <c r="A92" s="303"/>
      <c r="B92" s="329" t="s">
        <v>203</v>
      </c>
      <c r="C92" s="305" t="s">
        <v>237</v>
      </c>
      <c r="D92" s="305">
        <v>1</v>
      </c>
      <c r="E92" s="315">
        <v>269</v>
      </c>
      <c r="F92" s="305">
        <v>22.3</v>
      </c>
      <c r="G92" s="314"/>
      <c r="N92" s="289"/>
      <c r="S92" s="289"/>
    </row>
    <row r="93" spans="1:19" x14ac:dyDescent="0.4">
      <c r="A93" s="303"/>
      <c r="B93" s="329" t="s">
        <v>193</v>
      </c>
      <c r="C93" s="330" t="s">
        <v>210</v>
      </c>
      <c r="D93" s="305">
        <v>1</v>
      </c>
      <c r="E93" s="315">
        <v>0</v>
      </c>
      <c r="F93" s="305"/>
      <c r="G93" s="314"/>
      <c r="N93" s="289"/>
      <c r="S93" s="289"/>
    </row>
    <row r="94" spans="1:19" x14ac:dyDescent="0.4">
      <c r="A94" s="303"/>
      <c r="B94" s="329" t="s">
        <v>233</v>
      </c>
      <c r="C94" s="330" t="s">
        <v>232</v>
      </c>
      <c r="D94" s="305">
        <v>1</v>
      </c>
      <c r="E94" s="315">
        <v>175</v>
      </c>
      <c r="F94" s="305">
        <v>18</v>
      </c>
      <c r="G94" s="314"/>
      <c r="N94" s="289"/>
      <c r="S94" s="289"/>
    </row>
    <row r="95" spans="1:19" x14ac:dyDescent="0.4">
      <c r="A95" s="303"/>
      <c r="B95" s="329" t="s">
        <v>194</v>
      </c>
      <c r="C95" s="305" t="s">
        <v>149</v>
      </c>
      <c r="D95" s="305">
        <v>1</v>
      </c>
      <c r="E95" s="315">
        <v>120</v>
      </c>
      <c r="F95" s="305">
        <v>18</v>
      </c>
      <c r="G95" s="305"/>
      <c r="H95" s="313">
        <f>G95/16</f>
        <v>0</v>
      </c>
      <c r="N95" s="289"/>
      <c r="S95" s="289"/>
    </row>
    <row r="96" spans="1:19" x14ac:dyDescent="0.4">
      <c r="A96" s="303"/>
      <c r="B96" s="329" t="s">
        <v>195</v>
      </c>
      <c r="C96" s="305" t="s">
        <v>152</v>
      </c>
      <c r="D96" s="305">
        <v>1</v>
      </c>
      <c r="E96" s="315">
        <v>215</v>
      </c>
      <c r="F96" s="305">
        <v>17</v>
      </c>
      <c r="G96" s="305"/>
      <c r="H96" s="313">
        <f>G96/16</f>
        <v>0</v>
      </c>
      <c r="N96" s="289"/>
      <c r="S96" s="289"/>
    </row>
    <row r="97" spans="1:19" x14ac:dyDescent="0.4">
      <c r="A97" s="303"/>
      <c r="B97" s="329" t="s">
        <v>211</v>
      </c>
      <c r="C97" s="330" t="s">
        <v>238</v>
      </c>
      <c r="D97" s="305">
        <v>1</v>
      </c>
      <c r="E97" s="315">
        <v>59</v>
      </c>
      <c r="F97" s="305">
        <v>2.9</v>
      </c>
      <c r="G97" s="314"/>
      <c r="N97" s="289"/>
      <c r="S97" s="289"/>
    </row>
    <row r="98" spans="1:19" x14ac:dyDescent="0.4">
      <c r="A98" s="303"/>
      <c r="B98" s="329" t="s">
        <v>212</v>
      </c>
      <c r="C98" s="330" t="s">
        <v>239</v>
      </c>
      <c r="D98" s="305">
        <v>1</v>
      </c>
      <c r="E98" s="315">
        <v>90</v>
      </c>
      <c r="F98" s="305">
        <v>7.2</v>
      </c>
      <c r="G98" s="314"/>
      <c r="N98" s="289"/>
      <c r="S98" s="289"/>
    </row>
    <row r="99" spans="1:19" x14ac:dyDescent="0.4">
      <c r="A99" s="303"/>
      <c r="B99" s="333" t="s">
        <v>282</v>
      </c>
      <c r="C99" s="330" t="s">
        <v>283</v>
      </c>
      <c r="D99" s="305"/>
      <c r="E99" s="315"/>
      <c r="F99" s="305"/>
      <c r="G99" s="314"/>
      <c r="N99" s="289"/>
      <c r="S99" s="289"/>
    </row>
    <row r="100" spans="1:19" x14ac:dyDescent="0.4">
      <c r="A100" s="303"/>
      <c r="B100" s="329" t="s">
        <v>196</v>
      </c>
      <c r="C100" s="330" t="s">
        <v>252</v>
      </c>
      <c r="D100" s="305">
        <v>1</v>
      </c>
      <c r="E100" s="315">
        <v>79</v>
      </c>
      <c r="F100" s="305">
        <v>3.5</v>
      </c>
      <c r="G100" s="314"/>
      <c r="N100" s="289"/>
      <c r="S100" s="289"/>
    </row>
    <row r="101" spans="1:19" x14ac:dyDescent="0.4">
      <c r="A101" s="303"/>
      <c r="B101" s="329" t="s">
        <v>197</v>
      </c>
      <c r="C101" s="305" t="s">
        <v>85</v>
      </c>
      <c r="D101" s="305">
        <v>1</v>
      </c>
      <c r="E101" s="315">
        <v>50</v>
      </c>
      <c r="F101" s="305">
        <v>4.2</v>
      </c>
      <c r="G101" s="314">
        <f>F101/16</f>
        <v>0.26250000000000001</v>
      </c>
      <c r="N101" s="289"/>
      <c r="S101" s="289"/>
    </row>
    <row r="102" spans="1:19" x14ac:dyDescent="0.4">
      <c r="A102" s="303"/>
      <c r="B102" s="329" t="s">
        <v>198</v>
      </c>
      <c r="C102" s="330" t="s">
        <v>240</v>
      </c>
      <c r="D102" s="305">
        <v>1</v>
      </c>
      <c r="E102" s="315"/>
      <c r="F102" s="305"/>
      <c r="G102" s="314"/>
      <c r="N102" s="289"/>
      <c r="S102" s="289"/>
    </row>
    <row r="103" spans="1:19" x14ac:dyDescent="0.4">
      <c r="A103" s="303"/>
      <c r="B103" s="334" t="s">
        <v>199</v>
      </c>
      <c r="C103" s="335" t="s">
        <v>253</v>
      </c>
      <c r="D103" s="336">
        <v>1</v>
      </c>
      <c r="E103" s="337">
        <v>22.5</v>
      </c>
      <c r="F103" s="336">
        <v>6</v>
      </c>
      <c r="G103" s="356"/>
      <c r="N103" s="289"/>
      <c r="O103" s="324"/>
      <c r="P103" s="324"/>
      <c r="Q103" s="324"/>
      <c r="R103" s="324"/>
      <c r="S103" s="325"/>
    </row>
    <row r="104" spans="1:19" x14ac:dyDescent="0.4">
      <c r="A104" s="303"/>
      <c r="B104" s="326" t="s">
        <v>185</v>
      </c>
      <c r="C104" s="327"/>
      <c r="D104" s="293"/>
      <c r="E104" s="328"/>
      <c r="F104" s="293"/>
      <c r="G104" s="355"/>
      <c r="H104" s="295"/>
      <c r="I104" s="295"/>
      <c r="J104" s="295"/>
      <c r="K104" s="338"/>
      <c r="L104" s="295"/>
      <c r="M104" s="295"/>
      <c r="N104" s="296"/>
      <c r="O104" s="295"/>
      <c r="P104" s="339"/>
      <c r="Q104" s="295"/>
      <c r="R104" s="340"/>
      <c r="S104" s="296"/>
    </row>
    <row r="105" spans="1:19" x14ac:dyDescent="0.4">
      <c r="A105" s="303"/>
      <c r="B105" s="304" t="s">
        <v>138</v>
      </c>
      <c r="C105" s="305"/>
      <c r="D105" s="305"/>
      <c r="E105" s="305"/>
      <c r="F105" s="305"/>
      <c r="G105" s="305"/>
      <c r="N105" s="289"/>
      <c r="S105" s="289"/>
    </row>
    <row r="106" spans="1:19" x14ac:dyDescent="0.4">
      <c r="A106" s="303"/>
      <c r="B106" s="304" t="s">
        <v>137</v>
      </c>
      <c r="C106" s="305"/>
      <c r="D106" s="305"/>
      <c r="E106" s="305"/>
      <c r="F106" s="305"/>
      <c r="G106" s="305"/>
      <c r="N106" s="289"/>
      <c r="S106" s="289"/>
    </row>
    <row r="107" spans="1:19" x14ac:dyDescent="0.4">
      <c r="A107" s="303"/>
      <c r="B107" s="307" t="s">
        <v>284</v>
      </c>
      <c r="C107" s="305"/>
      <c r="D107" s="305"/>
      <c r="E107" s="305"/>
      <c r="F107" s="305"/>
      <c r="G107" s="305"/>
      <c r="N107" s="289"/>
      <c r="S107" s="289"/>
    </row>
    <row r="108" spans="1:19" x14ac:dyDescent="0.4">
      <c r="A108" s="303"/>
      <c r="B108" s="304" t="s">
        <v>213</v>
      </c>
      <c r="C108" s="305"/>
      <c r="D108" s="305"/>
      <c r="E108" s="315"/>
      <c r="F108" s="305"/>
      <c r="G108" s="314"/>
      <c r="N108" s="289"/>
      <c r="S108" s="289"/>
    </row>
    <row r="109" spans="1:19" x14ac:dyDescent="0.4">
      <c r="A109" s="303"/>
      <c r="B109" s="304" t="s">
        <v>214</v>
      </c>
      <c r="C109" s="305"/>
      <c r="D109" s="305"/>
      <c r="E109" s="315"/>
      <c r="F109" s="305"/>
      <c r="G109" s="314"/>
      <c r="N109" s="289"/>
      <c r="S109" s="289"/>
    </row>
    <row r="110" spans="1:19" x14ac:dyDescent="0.4">
      <c r="A110" s="303"/>
      <c r="B110" s="304" t="s">
        <v>215</v>
      </c>
      <c r="C110" s="305"/>
      <c r="D110" s="305"/>
      <c r="E110" s="315"/>
      <c r="F110" s="305"/>
      <c r="G110" s="314"/>
      <c r="N110" s="289"/>
      <c r="S110" s="289"/>
    </row>
    <row r="111" spans="1:19" x14ac:dyDescent="0.4">
      <c r="A111" s="303"/>
      <c r="B111" s="341" t="s">
        <v>186</v>
      </c>
      <c r="C111" s="327"/>
      <c r="D111" s="293"/>
      <c r="E111" s="328"/>
      <c r="F111" s="293"/>
      <c r="G111" s="357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  <c r="R111" s="295"/>
      <c r="S111" s="296"/>
    </row>
    <row r="112" spans="1:19" x14ac:dyDescent="0.4">
      <c r="A112" s="303"/>
      <c r="B112" s="342" t="s">
        <v>243</v>
      </c>
      <c r="C112" s="305" t="s">
        <v>242</v>
      </c>
      <c r="D112" s="305"/>
      <c r="E112" s="315"/>
      <c r="F112" s="305"/>
      <c r="G112" s="311"/>
      <c r="S112" s="289"/>
    </row>
    <row r="113" spans="1:19" x14ac:dyDescent="0.4">
      <c r="A113" s="303"/>
      <c r="B113" s="342" t="s">
        <v>74</v>
      </c>
      <c r="C113" s="305"/>
      <c r="D113" s="305"/>
      <c r="E113" s="315">
        <v>229</v>
      </c>
      <c r="F113" s="305">
        <v>122</v>
      </c>
      <c r="G113" s="311">
        <f>F113/16</f>
        <v>7.625</v>
      </c>
      <c r="K113" s="316"/>
      <c r="P113" s="312"/>
      <c r="R113" s="313"/>
      <c r="S113" s="289"/>
    </row>
    <row r="114" spans="1:19" x14ac:dyDescent="0.4">
      <c r="A114" s="303"/>
      <c r="B114" s="342" t="s">
        <v>73</v>
      </c>
      <c r="C114" s="305"/>
      <c r="D114" s="305"/>
      <c r="E114" s="315">
        <v>39.950000000000003</v>
      </c>
      <c r="F114" s="305">
        <v>16.600000000000001</v>
      </c>
      <c r="G114" s="311">
        <f>F114/16</f>
        <v>1.0375000000000001</v>
      </c>
      <c r="K114" s="316"/>
      <c r="S114" s="289"/>
    </row>
    <row r="115" spans="1:19" x14ac:dyDescent="0.4">
      <c r="A115" s="303"/>
      <c r="B115" s="342" t="s">
        <v>78</v>
      </c>
      <c r="C115" s="305"/>
      <c r="D115" s="305"/>
      <c r="E115" s="315"/>
      <c r="F115" s="305"/>
      <c r="G115" s="311">
        <f>F115/16</f>
        <v>0</v>
      </c>
      <c r="S115" s="289"/>
    </row>
    <row r="116" spans="1:19" x14ac:dyDescent="0.4">
      <c r="A116" s="303"/>
      <c r="B116" s="342" t="s">
        <v>133</v>
      </c>
      <c r="C116" s="305"/>
      <c r="D116" s="305"/>
      <c r="E116" s="315"/>
      <c r="F116" s="305"/>
      <c r="G116" s="311"/>
      <c r="S116" s="289"/>
    </row>
    <row r="117" spans="1:19" ht="42" x14ac:dyDescent="0.4">
      <c r="A117" s="303"/>
      <c r="B117" s="345" t="s">
        <v>158</v>
      </c>
      <c r="C117" s="346"/>
      <c r="D117" s="346"/>
      <c r="E117" s="315"/>
      <c r="F117" s="305"/>
      <c r="G117" s="311"/>
      <c r="S117" s="289"/>
    </row>
    <row r="118" spans="1:19" ht="42" x14ac:dyDescent="0.4">
      <c r="A118" s="303"/>
      <c r="B118" s="345" t="s">
        <v>129</v>
      </c>
      <c r="C118" s="346"/>
      <c r="D118" s="346"/>
      <c r="E118" s="315"/>
      <c r="F118" s="305"/>
      <c r="G118" s="311"/>
      <c r="S118" s="289"/>
    </row>
    <row r="119" spans="1:19" x14ac:dyDescent="0.4">
      <c r="A119" s="303"/>
      <c r="B119" s="342" t="s">
        <v>136</v>
      </c>
      <c r="C119" s="305"/>
      <c r="D119" s="305"/>
      <c r="E119" s="315"/>
      <c r="F119" s="305"/>
      <c r="G119" s="311"/>
      <c r="S119" s="289"/>
    </row>
    <row r="120" spans="1:19" x14ac:dyDescent="0.4">
      <c r="A120" s="303"/>
      <c r="B120" s="342" t="s">
        <v>259</v>
      </c>
      <c r="C120" s="305"/>
      <c r="D120" s="305"/>
      <c r="E120" s="315"/>
      <c r="F120" s="305"/>
      <c r="G120" s="311"/>
      <c r="S120" s="289"/>
    </row>
    <row r="121" spans="1:19" x14ac:dyDescent="0.4">
      <c r="A121" s="303"/>
      <c r="B121" s="342" t="s">
        <v>260</v>
      </c>
      <c r="C121" s="305"/>
      <c r="D121" s="305"/>
      <c r="E121" s="315"/>
      <c r="F121" s="305"/>
      <c r="G121" s="311"/>
      <c r="S121" s="289"/>
    </row>
    <row r="122" spans="1:19" x14ac:dyDescent="0.4">
      <c r="A122" s="303"/>
      <c r="B122" s="342" t="s">
        <v>117</v>
      </c>
      <c r="C122" s="305"/>
      <c r="D122" s="305"/>
      <c r="E122" s="315">
        <v>89.95</v>
      </c>
      <c r="F122" s="305">
        <v>12.4</v>
      </c>
      <c r="G122" s="311">
        <f>F122/16</f>
        <v>0.77500000000000002</v>
      </c>
      <c r="S122" s="289"/>
    </row>
    <row r="123" spans="1:19" x14ac:dyDescent="0.4">
      <c r="A123" s="303"/>
      <c r="B123" s="345" t="s">
        <v>154</v>
      </c>
      <c r="C123" s="305"/>
      <c r="D123" s="305"/>
      <c r="E123" s="305"/>
      <c r="F123" s="305"/>
      <c r="G123" s="311"/>
      <c r="S123" s="289"/>
    </row>
    <row r="124" spans="1:19" x14ac:dyDescent="0.4">
      <c r="A124" s="303"/>
      <c r="B124" s="342" t="s">
        <v>86</v>
      </c>
      <c r="C124" s="305"/>
      <c r="D124" s="305"/>
      <c r="E124" s="315">
        <v>800</v>
      </c>
      <c r="F124" s="305">
        <v>45</v>
      </c>
      <c r="G124" s="311">
        <f>F124/16</f>
        <v>2.8125</v>
      </c>
      <c r="S124" s="289"/>
    </row>
    <row r="125" spans="1:19" x14ac:dyDescent="0.4">
      <c r="A125" s="303"/>
      <c r="B125" s="342" t="s">
        <v>87</v>
      </c>
      <c r="C125" s="305"/>
      <c r="D125" s="305"/>
      <c r="E125" s="315">
        <v>150</v>
      </c>
      <c r="F125" s="305">
        <v>16</v>
      </c>
      <c r="G125" s="311">
        <f>F125/16</f>
        <v>1</v>
      </c>
      <c r="S125" s="289"/>
    </row>
    <row r="126" spans="1:19" x14ac:dyDescent="0.4">
      <c r="A126" s="303"/>
      <c r="B126" s="342" t="s">
        <v>88</v>
      </c>
      <c r="C126" s="305"/>
      <c r="D126" s="305"/>
      <c r="E126" s="315"/>
      <c r="F126" s="305">
        <v>6</v>
      </c>
      <c r="G126" s="311">
        <f>F126/16</f>
        <v>0.375</v>
      </c>
      <c r="S126" s="289"/>
    </row>
    <row r="127" spans="1:19" x14ac:dyDescent="0.4">
      <c r="A127" s="347"/>
      <c r="B127" s="348" t="s">
        <v>70</v>
      </c>
      <c r="C127" s="322"/>
      <c r="D127" s="322"/>
      <c r="E127" s="323">
        <f>SUM(E26:E126)</f>
        <v>4764</v>
      </c>
      <c r="F127" s="322">
        <f>SUM(F26:F125)</f>
        <v>798.99</v>
      </c>
      <c r="G127" s="354" t="e">
        <f>SUM(G26:G125)</f>
        <v>#VALUE!</v>
      </c>
      <c r="H127" s="324"/>
      <c r="I127" s="324"/>
      <c r="J127" s="349"/>
      <c r="K127" s="350"/>
      <c r="L127" s="324"/>
      <c r="M127" s="324"/>
      <c r="N127" s="324"/>
      <c r="O127" s="324"/>
      <c r="P127" s="324"/>
      <c r="Q127" s="324"/>
      <c r="R127" s="324"/>
      <c r="S127" s="325"/>
    </row>
    <row r="128" spans="1:19" x14ac:dyDescent="0.4">
      <c r="E128" s="312"/>
    </row>
    <row r="129" spans="5:5" x14ac:dyDescent="0.4">
      <c r="E129" s="312"/>
    </row>
    <row r="130" spans="5:5" x14ac:dyDescent="0.4">
      <c r="E130" s="3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77"/>
  <sheetViews>
    <sheetView workbookViewId="0"/>
  </sheetViews>
  <sheetFormatPr defaultRowHeight="14.4" x14ac:dyDescent="0.3"/>
  <sheetData>
    <row r="1" spans="1:20" x14ac:dyDescent="0.3">
      <c r="A1" s="152" t="s">
        <v>99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4"/>
      <c r="Q1" s="12"/>
      <c r="R1" t="s">
        <v>102</v>
      </c>
    </row>
    <row r="2" spans="1:20" x14ac:dyDescent="0.3">
      <c r="A2" s="21" t="s">
        <v>0</v>
      </c>
      <c r="B2" s="19" t="s">
        <v>121</v>
      </c>
      <c r="C2" s="19"/>
      <c r="D2" s="19" t="s">
        <v>108</v>
      </c>
      <c r="E2" s="20">
        <f>E74</f>
        <v>28.053749999999994</v>
      </c>
      <c r="H2" t="s">
        <v>1</v>
      </c>
      <c r="L2" s="155"/>
      <c r="M2" s="155"/>
      <c r="N2" s="19"/>
      <c r="O2" s="20"/>
      <c r="P2" s="14"/>
      <c r="R2" t="s">
        <v>2</v>
      </c>
      <c r="S2" t="s">
        <v>43</v>
      </c>
      <c r="T2" t="s">
        <v>44</v>
      </c>
    </row>
    <row r="3" spans="1:20" x14ac:dyDescent="0.3">
      <c r="A3" s="13" t="s">
        <v>2</v>
      </c>
      <c r="C3" t="s">
        <v>3</v>
      </c>
      <c r="D3" t="s">
        <v>43</v>
      </c>
      <c r="E3" t="s">
        <v>44</v>
      </c>
      <c r="F3" t="s">
        <v>4</v>
      </c>
      <c r="H3" t="s">
        <v>2</v>
      </c>
      <c r="I3" t="s">
        <v>3</v>
      </c>
      <c r="J3" t="s">
        <v>4</v>
      </c>
      <c r="P3" s="14"/>
      <c r="R3" t="s">
        <v>103</v>
      </c>
    </row>
    <row r="4" spans="1:20" x14ac:dyDescent="0.3">
      <c r="A4" s="13" t="s">
        <v>155</v>
      </c>
      <c r="B4" t="s">
        <v>157</v>
      </c>
      <c r="P4" s="14"/>
    </row>
    <row r="5" spans="1:20" x14ac:dyDescent="0.3">
      <c r="A5" s="13" t="s">
        <v>156</v>
      </c>
      <c r="B5" t="s">
        <v>157</v>
      </c>
      <c r="P5" s="14"/>
    </row>
    <row r="6" spans="1:20" x14ac:dyDescent="0.3">
      <c r="A6" s="13" t="s">
        <v>124</v>
      </c>
      <c r="B6" t="s">
        <v>122</v>
      </c>
      <c r="D6">
        <f>E6*16</f>
        <v>104</v>
      </c>
      <c r="E6">
        <v>6.5</v>
      </c>
      <c r="P6" s="14"/>
    </row>
    <row r="7" spans="1:20" x14ac:dyDescent="0.3">
      <c r="A7" s="13" t="s">
        <v>126</v>
      </c>
      <c r="B7" t="s">
        <v>122</v>
      </c>
      <c r="D7">
        <v>15.9</v>
      </c>
      <c r="E7" s="2">
        <f>D7/16</f>
        <v>0.99375000000000002</v>
      </c>
      <c r="P7" s="14"/>
    </row>
    <row r="8" spans="1:20" x14ac:dyDescent="0.3">
      <c r="A8" s="13" t="s">
        <v>125</v>
      </c>
      <c r="B8" t="s">
        <v>122</v>
      </c>
      <c r="D8">
        <v>1.1000000000000001</v>
      </c>
      <c r="E8" s="2">
        <f>D8/16</f>
        <v>6.8750000000000006E-2</v>
      </c>
      <c r="P8" s="14"/>
    </row>
    <row r="9" spans="1:20" x14ac:dyDescent="0.3">
      <c r="A9" s="13" t="s">
        <v>145</v>
      </c>
      <c r="B9" t="s">
        <v>122</v>
      </c>
      <c r="D9">
        <f>E9*16</f>
        <v>8</v>
      </c>
      <c r="E9" s="2">
        <v>0.5</v>
      </c>
      <c r="P9" s="14"/>
    </row>
    <row r="10" spans="1:20" x14ac:dyDescent="0.3">
      <c r="A10" s="13" t="s">
        <v>127</v>
      </c>
      <c r="B10" t="s">
        <v>122</v>
      </c>
      <c r="D10">
        <v>0.7</v>
      </c>
      <c r="E10" s="2">
        <f>D10/16</f>
        <v>4.3749999999999997E-2</v>
      </c>
      <c r="P10" s="14"/>
    </row>
    <row r="11" spans="1:20" x14ac:dyDescent="0.3">
      <c r="A11" s="13" t="s">
        <v>146</v>
      </c>
      <c r="B11" t="s">
        <v>122</v>
      </c>
      <c r="P11" s="14"/>
    </row>
    <row r="12" spans="1:20" x14ac:dyDescent="0.3">
      <c r="A12" s="22" t="s">
        <v>128</v>
      </c>
      <c r="P12" s="14"/>
    </row>
    <row r="13" spans="1:20" x14ac:dyDescent="0.3">
      <c r="A13" s="22" t="s">
        <v>129</v>
      </c>
      <c r="P13" s="14"/>
    </row>
    <row r="14" spans="1:20" x14ac:dyDescent="0.3">
      <c r="A14" s="22" t="s">
        <v>130</v>
      </c>
      <c r="P14" s="14"/>
    </row>
    <row r="15" spans="1:20" x14ac:dyDescent="0.3">
      <c r="A15" s="13" t="s">
        <v>40</v>
      </c>
      <c r="B15" t="s">
        <v>122</v>
      </c>
      <c r="C15" s="1">
        <f>135*0.88</f>
        <v>118.8</v>
      </c>
      <c r="D15">
        <v>48.7</v>
      </c>
      <c r="E15" s="2">
        <f t="shared" ref="E15:E22" si="0">D15/16</f>
        <v>3.0437500000000002</v>
      </c>
      <c r="M15" s="3"/>
      <c r="O15" s="2"/>
      <c r="P15" s="14"/>
    </row>
    <row r="16" spans="1:20" x14ac:dyDescent="0.3">
      <c r="A16" s="13" t="s">
        <v>123</v>
      </c>
      <c r="B16" t="s">
        <v>122</v>
      </c>
      <c r="C16" s="1">
        <f>199*0.88</f>
        <v>175.12</v>
      </c>
      <c r="D16" s="2">
        <v>28.7</v>
      </c>
      <c r="E16" s="2">
        <f t="shared" si="0"/>
        <v>1.79375</v>
      </c>
      <c r="O16" s="2"/>
      <c r="P16" s="14"/>
    </row>
    <row r="17" spans="1:16" x14ac:dyDescent="0.3">
      <c r="A17" s="13" t="s">
        <v>76</v>
      </c>
      <c r="B17" t="s">
        <v>122</v>
      </c>
      <c r="C17" s="1">
        <f>44*0.88</f>
        <v>38.72</v>
      </c>
      <c r="D17" s="2">
        <v>5.9</v>
      </c>
      <c r="E17" s="2">
        <f t="shared" si="0"/>
        <v>0.36875000000000002</v>
      </c>
      <c r="M17" s="3"/>
      <c r="O17" s="2"/>
      <c r="P17" s="14"/>
    </row>
    <row r="18" spans="1:16" x14ac:dyDescent="0.3">
      <c r="A18" s="13" t="s">
        <v>77</v>
      </c>
      <c r="B18" t="s">
        <v>122</v>
      </c>
      <c r="C18" s="1">
        <f>19*0.88</f>
        <v>16.72</v>
      </c>
      <c r="D18" s="2">
        <f>0.8*2</f>
        <v>1.6</v>
      </c>
      <c r="E18" s="2">
        <f t="shared" si="0"/>
        <v>0.1</v>
      </c>
      <c r="M18" s="3"/>
      <c r="O18" s="2"/>
      <c r="P18" s="14"/>
    </row>
    <row r="19" spans="1:16" x14ac:dyDescent="0.3">
      <c r="A19" s="22" t="s">
        <v>84</v>
      </c>
      <c r="B19" t="s">
        <v>122</v>
      </c>
      <c r="C19" s="1">
        <v>34</v>
      </c>
      <c r="D19" s="2">
        <v>5.9</v>
      </c>
      <c r="E19" s="2">
        <f t="shared" si="0"/>
        <v>0.36875000000000002</v>
      </c>
      <c r="M19" s="3"/>
      <c r="O19" s="2"/>
      <c r="P19" s="14"/>
    </row>
    <row r="20" spans="1:16" x14ac:dyDescent="0.3">
      <c r="A20" s="13" t="s">
        <v>65</v>
      </c>
      <c r="B20" t="s">
        <v>157</v>
      </c>
      <c r="C20" s="3">
        <v>144</v>
      </c>
      <c r="D20">
        <v>14</v>
      </c>
      <c r="E20" s="2">
        <f t="shared" si="0"/>
        <v>0.875</v>
      </c>
      <c r="M20" s="3"/>
      <c r="O20" s="2"/>
      <c r="P20" s="14"/>
    </row>
    <row r="21" spans="1:16" x14ac:dyDescent="0.3">
      <c r="A21" s="13" t="s">
        <v>67</v>
      </c>
      <c r="B21" t="s">
        <v>157</v>
      </c>
      <c r="C21" s="3">
        <v>4.95</v>
      </c>
      <c r="D21">
        <f>3.53</f>
        <v>3.53</v>
      </c>
      <c r="E21" s="2">
        <f t="shared" si="0"/>
        <v>0.22062499999999999</v>
      </c>
      <c r="P21" s="14"/>
    </row>
    <row r="22" spans="1:16" x14ac:dyDescent="0.3">
      <c r="A22" s="22" t="s">
        <v>67</v>
      </c>
      <c r="B22" t="s">
        <v>122</v>
      </c>
      <c r="C22" s="3">
        <v>4.95</v>
      </c>
      <c r="D22">
        <v>3.53</v>
      </c>
      <c r="E22" s="2">
        <f t="shared" si="0"/>
        <v>0.22062499999999999</v>
      </c>
      <c r="L22" s="4"/>
      <c r="M22" s="8"/>
      <c r="N22" s="9"/>
      <c r="O22" s="10"/>
      <c r="P22" s="15"/>
    </row>
    <row r="23" spans="1:16" x14ac:dyDescent="0.3">
      <c r="A23" s="22" t="s">
        <v>131</v>
      </c>
      <c r="B23" t="s">
        <v>122</v>
      </c>
      <c r="C23" s="3"/>
      <c r="E23" s="2"/>
      <c r="I23" s="1"/>
      <c r="L23" s="156"/>
      <c r="M23" s="156"/>
      <c r="O23" s="2"/>
      <c r="P23" s="14"/>
    </row>
    <row r="24" spans="1:16" x14ac:dyDescent="0.3">
      <c r="A24" s="22" t="s">
        <v>132</v>
      </c>
      <c r="C24" s="3"/>
      <c r="E24" s="2"/>
      <c r="I24" s="1"/>
      <c r="L24" s="155"/>
      <c r="M24" s="155"/>
      <c r="N24" s="19"/>
      <c r="O24" s="20"/>
      <c r="P24" s="14"/>
    </row>
    <row r="25" spans="1:16" x14ac:dyDescent="0.3">
      <c r="A25" s="13" t="s">
        <v>133</v>
      </c>
      <c r="B25" t="s">
        <v>122</v>
      </c>
      <c r="C25" s="3"/>
      <c r="E25" s="2"/>
      <c r="I25" s="1"/>
      <c r="P25" s="14"/>
    </row>
    <row r="26" spans="1:16" x14ac:dyDescent="0.3">
      <c r="A26" s="13" t="s">
        <v>134</v>
      </c>
      <c r="B26" t="s">
        <v>148</v>
      </c>
      <c r="C26" s="3"/>
      <c r="E26" s="2"/>
      <c r="I26" s="1"/>
      <c r="M26" s="3"/>
      <c r="O26" s="2"/>
      <c r="P26" s="14"/>
    </row>
    <row r="27" spans="1:16" x14ac:dyDescent="0.3">
      <c r="A27" s="13" t="s">
        <v>135</v>
      </c>
      <c r="B27" t="s">
        <v>122</v>
      </c>
      <c r="C27" s="3"/>
      <c r="E27" s="2"/>
      <c r="I27" s="1"/>
      <c r="O27" s="2"/>
      <c r="P27" s="14"/>
    </row>
    <row r="28" spans="1:16" x14ac:dyDescent="0.3">
      <c r="A28" s="13" t="s">
        <v>147</v>
      </c>
      <c r="B28" t="s">
        <v>122</v>
      </c>
      <c r="C28" s="3"/>
      <c r="E28" s="2"/>
      <c r="I28" s="1"/>
      <c r="M28" s="3"/>
      <c r="O28" s="2"/>
      <c r="P28" s="14"/>
    </row>
    <row r="29" spans="1:16" x14ac:dyDescent="0.3">
      <c r="A29" s="13" t="s">
        <v>153</v>
      </c>
      <c r="B29" t="s">
        <v>122</v>
      </c>
      <c r="C29" s="3"/>
      <c r="E29" s="2"/>
      <c r="I29" s="1"/>
      <c r="M29" s="3"/>
      <c r="O29" s="2"/>
      <c r="P29" s="14"/>
    </row>
    <row r="30" spans="1:16" x14ac:dyDescent="0.3">
      <c r="A30" s="22" t="s">
        <v>74</v>
      </c>
      <c r="B30" t="s">
        <v>122</v>
      </c>
      <c r="C30" s="3">
        <v>229</v>
      </c>
      <c r="D30">
        <v>122</v>
      </c>
      <c r="E30" s="2">
        <f t="shared" ref="E30:E40" si="1">D30/16</f>
        <v>7.625</v>
      </c>
      <c r="I30" s="1"/>
      <c r="M30" s="3"/>
      <c r="O30" s="2"/>
      <c r="P30" s="14"/>
    </row>
    <row r="31" spans="1:16" x14ac:dyDescent="0.3">
      <c r="A31" s="22" t="s">
        <v>73</v>
      </c>
      <c r="B31" t="s">
        <v>122</v>
      </c>
      <c r="C31" s="3">
        <v>39.950000000000003</v>
      </c>
      <c r="D31">
        <v>16.600000000000001</v>
      </c>
      <c r="E31" s="2">
        <f t="shared" si="1"/>
        <v>1.0375000000000001</v>
      </c>
      <c r="I31" s="1"/>
      <c r="P31" s="14"/>
    </row>
    <row r="32" spans="1:16" x14ac:dyDescent="0.3">
      <c r="A32" s="22" t="s">
        <v>111</v>
      </c>
      <c r="B32" t="s">
        <v>122</v>
      </c>
      <c r="C32" s="3">
        <v>258</v>
      </c>
      <c r="D32">
        <v>30.6</v>
      </c>
      <c r="E32" s="2">
        <f t="shared" si="1"/>
        <v>1.9125000000000001</v>
      </c>
      <c r="I32" s="1"/>
      <c r="P32" s="14"/>
    </row>
    <row r="33" spans="1:16" x14ac:dyDescent="0.3">
      <c r="A33" s="22" t="s">
        <v>71</v>
      </c>
      <c r="B33" t="s">
        <v>122</v>
      </c>
      <c r="C33" s="3">
        <v>35.89</v>
      </c>
      <c r="D33">
        <v>4</v>
      </c>
      <c r="E33" s="2">
        <f t="shared" si="1"/>
        <v>0.25</v>
      </c>
      <c r="I33" s="1"/>
      <c r="K33" t="s">
        <v>122</v>
      </c>
      <c r="L33" s="4"/>
      <c r="M33" s="8"/>
      <c r="N33" s="9"/>
      <c r="O33" s="10"/>
      <c r="P33" s="15"/>
    </row>
    <row r="34" spans="1:16" x14ac:dyDescent="0.3">
      <c r="A34" s="22" t="s">
        <v>75</v>
      </c>
      <c r="B34" t="s">
        <v>122</v>
      </c>
      <c r="C34" s="3">
        <v>143.96</v>
      </c>
      <c r="D34">
        <v>21</v>
      </c>
      <c r="E34" s="2">
        <f t="shared" si="1"/>
        <v>1.3125</v>
      </c>
      <c r="I34" s="1"/>
      <c r="K34" t="s">
        <v>122</v>
      </c>
      <c r="P34" s="14"/>
    </row>
    <row r="35" spans="1:16" x14ac:dyDescent="0.3">
      <c r="A35" s="22" t="s">
        <v>69</v>
      </c>
      <c r="B35" t="s">
        <v>122</v>
      </c>
      <c r="C35" s="3">
        <v>49.95</v>
      </c>
      <c r="D35">
        <v>7.4</v>
      </c>
      <c r="E35" s="2">
        <f t="shared" si="1"/>
        <v>0.46250000000000002</v>
      </c>
      <c r="I35" s="1"/>
      <c r="K35" t="s">
        <v>122</v>
      </c>
      <c r="P35" s="14"/>
    </row>
    <row r="36" spans="1:16" x14ac:dyDescent="0.3">
      <c r="A36" s="22" t="s">
        <v>116</v>
      </c>
      <c r="B36" t="s">
        <v>122</v>
      </c>
      <c r="C36" s="3">
        <v>4.95</v>
      </c>
      <c r="D36">
        <v>1.4</v>
      </c>
      <c r="E36" s="2">
        <f t="shared" si="1"/>
        <v>8.7499999999999994E-2</v>
      </c>
      <c r="I36" s="1"/>
      <c r="K36" t="s">
        <v>122</v>
      </c>
      <c r="P36" s="14"/>
    </row>
    <row r="37" spans="1:16" x14ac:dyDescent="0.3">
      <c r="A37" s="23"/>
      <c r="B37" s="26"/>
      <c r="C37" s="3"/>
      <c r="E37" s="2"/>
      <c r="P37" s="14"/>
    </row>
    <row r="38" spans="1:16" x14ac:dyDescent="0.3">
      <c r="A38" s="23"/>
      <c r="B38" s="26"/>
      <c r="C38" s="3"/>
      <c r="E38" s="2"/>
      <c r="P38" s="14"/>
    </row>
    <row r="39" spans="1:16" x14ac:dyDescent="0.3">
      <c r="A39" s="22" t="s">
        <v>117</v>
      </c>
      <c r="B39" t="s">
        <v>163</v>
      </c>
      <c r="C39" s="3">
        <v>89.95</v>
      </c>
      <c r="D39">
        <v>12.4</v>
      </c>
      <c r="E39" s="2">
        <f t="shared" si="1"/>
        <v>0.77500000000000002</v>
      </c>
      <c r="P39" s="14"/>
    </row>
    <row r="40" spans="1:16" x14ac:dyDescent="0.3">
      <c r="A40" s="13" t="s">
        <v>78</v>
      </c>
      <c r="C40" s="3"/>
      <c r="E40" s="2">
        <f t="shared" si="1"/>
        <v>0</v>
      </c>
      <c r="P40" s="14"/>
    </row>
    <row r="41" spans="1:16" ht="28.8" x14ac:dyDescent="0.3">
      <c r="A41" s="23" t="s">
        <v>158</v>
      </c>
      <c r="B41" s="26"/>
      <c r="C41" s="3"/>
      <c r="E41" s="2"/>
      <c r="P41" s="14"/>
    </row>
    <row r="42" spans="1:16" x14ac:dyDescent="0.3">
      <c r="A42" s="23" t="s">
        <v>154</v>
      </c>
      <c r="B42" s="26" t="s">
        <v>122</v>
      </c>
      <c r="C42" s="3"/>
      <c r="E42" s="2"/>
      <c r="P42" s="14"/>
    </row>
    <row r="43" spans="1:16" x14ac:dyDescent="0.3">
      <c r="A43" s="22" t="s">
        <v>131</v>
      </c>
      <c r="B43" t="s">
        <v>122</v>
      </c>
      <c r="C43" s="3"/>
      <c r="E43" s="2"/>
      <c r="P43" s="14"/>
    </row>
    <row r="44" spans="1:16" x14ac:dyDescent="0.3">
      <c r="A44" s="22" t="s">
        <v>159</v>
      </c>
      <c r="B44" t="s">
        <v>122</v>
      </c>
      <c r="C44" s="3"/>
      <c r="E44" s="2"/>
      <c r="P44" s="14"/>
    </row>
    <row r="45" spans="1:16" x14ac:dyDescent="0.3">
      <c r="A45" s="22" t="s">
        <v>160</v>
      </c>
      <c r="B45" t="s">
        <v>122</v>
      </c>
      <c r="C45" s="3"/>
      <c r="E45" s="2"/>
      <c r="P45" s="14"/>
    </row>
    <row r="46" spans="1:16" x14ac:dyDescent="0.3">
      <c r="A46" s="22" t="s">
        <v>161</v>
      </c>
      <c r="B46" t="s">
        <v>122</v>
      </c>
      <c r="C46" s="3"/>
      <c r="E46" s="2"/>
      <c r="P46" s="14"/>
    </row>
    <row r="47" spans="1:16" x14ac:dyDescent="0.3">
      <c r="A47" s="13" t="s">
        <v>68</v>
      </c>
      <c r="B47" t="s">
        <v>122</v>
      </c>
      <c r="C47" s="3">
        <v>299</v>
      </c>
      <c r="D47">
        <v>3.5</v>
      </c>
      <c r="E47" s="2">
        <f>D47/16</f>
        <v>0.21875</v>
      </c>
      <c r="P47" s="14"/>
    </row>
    <row r="48" spans="1:16" x14ac:dyDescent="0.3">
      <c r="A48" s="22" t="s">
        <v>72</v>
      </c>
      <c r="B48" t="s">
        <v>122</v>
      </c>
      <c r="C48" s="3">
        <v>5</v>
      </c>
      <c r="D48">
        <v>4</v>
      </c>
      <c r="E48" s="2">
        <f>D48/16</f>
        <v>0.25</v>
      </c>
      <c r="P48" s="14"/>
    </row>
    <row r="49" spans="1:16" x14ac:dyDescent="0.3">
      <c r="A49" s="22" t="s">
        <v>83</v>
      </c>
      <c r="B49" t="s">
        <v>122</v>
      </c>
      <c r="C49" s="3">
        <v>59.89</v>
      </c>
      <c r="D49">
        <v>5</v>
      </c>
      <c r="E49" s="2">
        <f>D49/16</f>
        <v>0.3125</v>
      </c>
      <c r="P49" s="14"/>
    </row>
    <row r="50" spans="1:16" x14ac:dyDescent="0.3">
      <c r="A50" s="22"/>
      <c r="C50" s="3"/>
      <c r="E50" s="2"/>
      <c r="P50" s="14"/>
    </row>
    <row r="51" spans="1:16" x14ac:dyDescent="0.3">
      <c r="A51" s="22" t="s">
        <v>115</v>
      </c>
      <c r="C51" s="3"/>
      <c r="E51" s="2"/>
      <c r="P51" s="14"/>
    </row>
    <row r="52" spans="1:16" x14ac:dyDescent="0.3">
      <c r="A52" s="13" t="s">
        <v>149</v>
      </c>
      <c r="B52" t="s">
        <v>122</v>
      </c>
      <c r="C52" s="3">
        <v>120</v>
      </c>
      <c r="D52">
        <v>18</v>
      </c>
      <c r="E52" s="2">
        <f t="shared" ref="E52:E58" si="2">D52/16</f>
        <v>1.125</v>
      </c>
      <c r="P52" s="14"/>
    </row>
    <row r="53" spans="1:16" x14ac:dyDescent="0.3">
      <c r="A53" s="13" t="s">
        <v>152</v>
      </c>
      <c r="B53" t="s">
        <v>122</v>
      </c>
      <c r="C53" s="3">
        <v>215</v>
      </c>
      <c r="D53">
        <v>17</v>
      </c>
      <c r="E53" s="2">
        <f t="shared" si="2"/>
        <v>1.0625</v>
      </c>
      <c r="P53" s="14"/>
    </row>
    <row r="54" spans="1:16" x14ac:dyDescent="0.3">
      <c r="A54" s="13" t="s">
        <v>150</v>
      </c>
      <c r="B54" t="s">
        <v>122</v>
      </c>
      <c r="C54" s="3">
        <v>68.989999999999995</v>
      </c>
      <c r="E54" s="2">
        <f t="shared" si="2"/>
        <v>0</v>
      </c>
      <c r="P54" s="14"/>
    </row>
    <row r="55" spans="1:16" x14ac:dyDescent="0.3">
      <c r="A55" s="13" t="s">
        <v>151</v>
      </c>
      <c r="B55" t="s">
        <v>122</v>
      </c>
      <c r="C55" s="3">
        <v>68.989999999999995</v>
      </c>
      <c r="E55" s="2">
        <f t="shared" si="2"/>
        <v>0</v>
      </c>
      <c r="P55" s="14"/>
    </row>
    <row r="56" spans="1:16" x14ac:dyDescent="0.3">
      <c r="A56" s="13" t="s">
        <v>85</v>
      </c>
      <c r="B56" t="s">
        <v>122</v>
      </c>
      <c r="C56" s="3">
        <v>50</v>
      </c>
      <c r="D56">
        <v>4.2</v>
      </c>
      <c r="E56" s="2">
        <f t="shared" si="2"/>
        <v>0.26250000000000001</v>
      </c>
      <c r="P56" s="14"/>
    </row>
    <row r="57" spans="1:16" x14ac:dyDescent="0.3">
      <c r="A57" s="13" t="s">
        <v>162</v>
      </c>
      <c r="B57" t="s">
        <v>122</v>
      </c>
      <c r="C57" s="3">
        <v>80</v>
      </c>
      <c r="E57" s="2">
        <f t="shared" si="2"/>
        <v>0</v>
      </c>
      <c r="P57" s="14"/>
    </row>
    <row r="58" spans="1:16" x14ac:dyDescent="0.3">
      <c r="A58" s="13"/>
      <c r="C58" s="3">
        <v>44</v>
      </c>
      <c r="D58">
        <v>8.9</v>
      </c>
      <c r="E58" s="2">
        <f t="shared" si="2"/>
        <v>0.55625000000000002</v>
      </c>
      <c r="P58" s="14"/>
    </row>
    <row r="59" spans="1:16" x14ac:dyDescent="0.3">
      <c r="A59" s="13" t="s">
        <v>136</v>
      </c>
      <c r="B59" t="s">
        <v>122</v>
      </c>
      <c r="C59" s="3"/>
      <c r="E59" s="2"/>
      <c r="P59" s="14"/>
    </row>
    <row r="60" spans="1:16" x14ac:dyDescent="0.3">
      <c r="A60" s="13" t="s">
        <v>137</v>
      </c>
      <c r="B60" t="s">
        <v>122</v>
      </c>
      <c r="C60" s="3"/>
      <c r="E60" s="2"/>
      <c r="P60" s="14"/>
    </row>
    <row r="61" spans="1:16" x14ac:dyDescent="0.3">
      <c r="A61" s="13" t="s">
        <v>138</v>
      </c>
      <c r="B61" t="s">
        <v>122</v>
      </c>
      <c r="C61" s="3"/>
      <c r="E61" s="2"/>
      <c r="P61" s="14"/>
    </row>
    <row r="62" spans="1:16" x14ac:dyDescent="0.3">
      <c r="A62" s="13" t="s">
        <v>139</v>
      </c>
      <c r="C62" s="3"/>
      <c r="E62" s="2"/>
      <c r="L62" s="17"/>
      <c r="M62" s="17"/>
      <c r="N62" s="17"/>
      <c r="O62" s="17"/>
      <c r="P62" s="18"/>
    </row>
    <row r="63" spans="1:16" x14ac:dyDescent="0.3">
      <c r="A63" s="22" t="s">
        <v>140</v>
      </c>
      <c r="B63" t="s">
        <v>122</v>
      </c>
      <c r="C63" s="3"/>
      <c r="E63" s="2"/>
    </row>
    <row r="64" spans="1:16" x14ac:dyDescent="0.3">
      <c r="A64" s="13" t="s">
        <v>141</v>
      </c>
      <c r="B64" t="s">
        <v>122</v>
      </c>
      <c r="C64" s="3"/>
      <c r="E64" s="2"/>
    </row>
    <row r="65" spans="1:11" x14ac:dyDescent="0.3">
      <c r="A65" s="13" t="s">
        <v>142</v>
      </c>
      <c r="B65" t="s">
        <v>122</v>
      </c>
      <c r="C65" s="3"/>
      <c r="E65" s="2"/>
    </row>
    <row r="66" spans="1:11" x14ac:dyDescent="0.3">
      <c r="A66" s="13" t="s">
        <v>143</v>
      </c>
      <c r="B66" t="s">
        <v>122</v>
      </c>
      <c r="C66" s="3"/>
      <c r="E66" s="2"/>
    </row>
    <row r="67" spans="1:11" x14ac:dyDescent="0.3">
      <c r="A67" s="22" t="s">
        <v>144</v>
      </c>
      <c r="B67" t="s">
        <v>122</v>
      </c>
      <c r="C67" s="3"/>
      <c r="E67" s="2"/>
    </row>
    <row r="68" spans="1:11" x14ac:dyDescent="0.3">
      <c r="A68" s="22" t="s">
        <v>120</v>
      </c>
      <c r="B68" t="s">
        <v>122</v>
      </c>
      <c r="C68" s="3"/>
      <c r="E68" s="2"/>
    </row>
    <row r="69" spans="1:11" x14ac:dyDescent="0.3">
      <c r="A69" s="22" t="s">
        <v>119</v>
      </c>
      <c r="B69" t="s">
        <v>122</v>
      </c>
      <c r="C69" s="3"/>
      <c r="E69" s="2"/>
    </row>
    <row r="70" spans="1:11" x14ac:dyDescent="0.3">
      <c r="A70" s="13"/>
      <c r="E70" s="2">
        <f>D70/16</f>
        <v>0</v>
      </c>
    </row>
    <row r="71" spans="1:11" x14ac:dyDescent="0.3">
      <c r="A71" s="13" t="s">
        <v>86</v>
      </c>
      <c r="B71" t="s">
        <v>122</v>
      </c>
      <c r="C71" s="3">
        <v>800</v>
      </c>
      <c r="D71">
        <v>45</v>
      </c>
      <c r="E71" s="2">
        <f>D71/16</f>
        <v>2.8125</v>
      </c>
    </row>
    <row r="72" spans="1:11" x14ac:dyDescent="0.3">
      <c r="A72" s="13" t="s">
        <v>87</v>
      </c>
      <c r="B72" t="s">
        <v>122</v>
      </c>
      <c r="C72" s="3">
        <v>150</v>
      </c>
      <c r="D72">
        <v>16</v>
      </c>
      <c r="E72" s="2">
        <f>D72/16</f>
        <v>1</v>
      </c>
    </row>
    <row r="73" spans="1:11" x14ac:dyDescent="0.3">
      <c r="A73" s="13" t="s">
        <v>88</v>
      </c>
      <c r="B73" t="s">
        <v>122</v>
      </c>
      <c r="C73" s="3"/>
      <c r="D73">
        <v>6</v>
      </c>
      <c r="E73" s="2">
        <f>D73/16</f>
        <v>0.375</v>
      </c>
    </row>
    <row r="74" spans="1:11" x14ac:dyDescent="0.3">
      <c r="A74" s="4" t="s">
        <v>70</v>
      </c>
      <c r="B74" s="6"/>
      <c r="C74" s="5">
        <f>SUM(C15:C73)</f>
        <v>3349.7799999999997</v>
      </c>
      <c r="D74" s="6">
        <f>SUM(D15:D72)</f>
        <v>448.8599999999999</v>
      </c>
      <c r="E74" s="11">
        <f>SUM(E15:E72)</f>
        <v>28.053749999999994</v>
      </c>
      <c r="F74" s="17"/>
      <c r="G74" s="17"/>
      <c r="H74" s="6"/>
      <c r="I74" s="7"/>
      <c r="J74" s="17"/>
      <c r="K74" s="17"/>
    </row>
    <row r="75" spans="1:11" x14ac:dyDescent="0.3">
      <c r="C75" s="3"/>
    </row>
    <row r="76" spans="1:11" x14ac:dyDescent="0.3">
      <c r="C76" s="3"/>
    </row>
    <row r="77" spans="1:11" x14ac:dyDescent="0.3">
      <c r="C77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45"/>
  <sheetViews>
    <sheetView workbookViewId="0"/>
  </sheetViews>
  <sheetFormatPr defaultRowHeight="14.4" x14ac:dyDescent="0.3"/>
  <sheetData>
    <row r="1" spans="1:20" x14ac:dyDescent="0.3">
      <c r="A1" s="152" t="s">
        <v>99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4"/>
      <c r="Q1" s="12"/>
      <c r="R1" t="s">
        <v>102</v>
      </c>
    </row>
    <row r="2" spans="1:20" x14ac:dyDescent="0.3">
      <c r="A2" s="21" t="s">
        <v>0</v>
      </c>
      <c r="B2" s="19" t="s">
        <v>121</v>
      </c>
      <c r="C2" s="19"/>
      <c r="D2" s="19" t="s">
        <v>108</v>
      </c>
      <c r="E2" s="20">
        <f>E42</f>
        <v>32.722499999999997</v>
      </c>
      <c r="H2" t="s">
        <v>1</v>
      </c>
      <c r="L2" s="155" t="s">
        <v>91</v>
      </c>
      <c r="M2" s="155"/>
      <c r="N2" s="19" t="s">
        <v>108</v>
      </c>
      <c r="O2" s="20">
        <f>O11</f>
        <v>6.6812500000000004</v>
      </c>
      <c r="P2" s="14"/>
      <c r="R2" t="s">
        <v>2</v>
      </c>
      <c r="S2" t="s">
        <v>43</v>
      </c>
      <c r="T2" t="s">
        <v>44</v>
      </c>
    </row>
    <row r="3" spans="1:20" x14ac:dyDescent="0.3">
      <c r="A3" s="13" t="s">
        <v>2</v>
      </c>
      <c r="C3" t="s">
        <v>3</v>
      </c>
      <c r="D3" t="s">
        <v>43</v>
      </c>
      <c r="E3" t="s">
        <v>44</v>
      </c>
      <c r="F3" t="s">
        <v>4</v>
      </c>
      <c r="H3" t="s">
        <v>2</v>
      </c>
      <c r="I3" t="s">
        <v>3</v>
      </c>
      <c r="J3" t="s">
        <v>4</v>
      </c>
      <c r="L3" t="s">
        <v>2</v>
      </c>
      <c r="M3" t="s">
        <v>3</v>
      </c>
      <c r="N3" t="s">
        <v>43</v>
      </c>
      <c r="O3" t="s">
        <v>44</v>
      </c>
      <c r="P3" s="14" t="s">
        <v>4</v>
      </c>
      <c r="R3" t="s">
        <v>103</v>
      </c>
    </row>
    <row r="4" spans="1:20" x14ac:dyDescent="0.3">
      <c r="A4" s="13" t="s">
        <v>40</v>
      </c>
      <c r="B4" t="s">
        <v>122</v>
      </c>
      <c r="C4" s="1">
        <f>135*0.88</f>
        <v>118.8</v>
      </c>
      <c r="D4">
        <v>48.7</v>
      </c>
      <c r="E4" s="2">
        <f>D4/16</f>
        <v>3.0437500000000002</v>
      </c>
      <c r="K4" t="s">
        <v>122</v>
      </c>
      <c r="L4" t="s">
        <v>90</v>
      </c>
      <c r="M4" s="3">
        <v>80</v>
      </c>
      <c r="N4">
        <v>21</v>
      </c>
      <c r="O4" s="2">
        <f t="shared" ref="O4:O9" si="0">N4/16</f>
        <v>1.3125</v>
      </c>
      <c r="P4" s="14"/>
      <c r="R4" t="s">
        <v>104</v>
      </c>
    </row>
    <row r="5" spans="1:20" x14ac:dyDescent="0.3">
      <c r="A5" s="13" t="s">
        <v>64</v>
      </c>
      <c r="B5" t="s">
        <v>122</v>
      </c>
      <c r="C5" s="1">
        <f>199*0.88</f>
        <v>175.12</v>
      </c>
      <c r="D5" s="2">
        <v>28.7</v>
      </c>
      <c r="E5" s="2">
        <f t="shared" ref="E5:E38" si="1">D5/16</f>
        <v>1.79375</v>
      </c>
      <c r="K5" t="s">
        <v>122</v>
      </c>
      <c r="L5" t="s">
        <v>93</v>
      </c>
      <c r="M5">
        <v>2</v>
      </c>
      <c r="N5">
        <f>15.8*M5</f>
        <v>31.6</v>
      </c>
      <c r="O5" s="2">
        <f t="shared" si="0"/>
        <v>1.9750000000000001</v>
      </c>
      <c r="P5" s="14"/>
      <c r="R5" t="s">
        <v>105</v>
      </c>
    </row>
    <row r="6" spans="1:20" x14ac:dyDescent="0.3">
      <c r="A6" s="13" t="s">
        <v>76</v>
      </c>
      <c r="B6" t="s">
        <v>122</v>
      </c>
      <c r="C6" s="1">
        <f>44*0.88</f>
        <v>38.72</v>
      </c>
      <c r="D6" s="2">
        <v>5.9</v>
      </c>
      <c r="E6" s="2">
        <f t="shared" si="1"/>
        <v>0.36875000000000002</v>
      </c>
      <c r="K6" t="s">
        <v>122</v>
      </c>
      <c r="L6" t="s">
        <v>94</v>
      </c>
      <c r="M6" s="3">
        <v>15</v>
      </c>
      <c r="N6">
        <v>2.4</v>
      </c>
      <c r="O6" s="2">
        <f t="shared" si="0"/>
        <v>0.15</v>
      </c>
      <c r="P6" s="14"/>
      <c r="R6" t="s">
        <v>107</v>
      </c>
    </row>
    <row r="7" spans="1:20" x14ac:dyDescent="0.3">
      <c r="A7" s="13" t="s">
        <v>77</v>
      </c>
      <c r="B7" t="s">
        <v>122</v>
      </c>
      <c r="C7" s="1">
        <f>19*0.88</f>
        <v>16.72</v>
      </c>
      <c r="D7" s="2">
        <f>0.8*2</f>
        <v>1.6</v>
      </c>
      <c r="E7" s="2">
        <f t="shared" si="1"/>
        <v>0.1</v>
      </c>
      <c r="L7" t="s">
        <v>96</v>
      </c>
      <c r="M7" s="3">
        <v>26</v>
      </c>
      <c r="N7">
        <v>15</v>
      </c>
      <c r="O7" s="2">
        <f t="shared" si="0"/>
        <v>0.9375</v>
      </c>
      <c r="P7" s="14"/>
      <c r="R7" t="s">
        <v>106</v>
      </c>
    </row>
    <row r="8" spans="1:20" x14ac:dyDescent="0.3">
      <c r="A8" s="13" t="s">
        <v>84</v>
      </c>
      <c r="C8" s="1">
        <v>34</v>
      </c>
      <c r="D8" s="2">
        <v>5.9</v>
      </c>
      <c r="E8" s="2">
        <f t="shared" si="1"/>
        <v>0.36875000000000002</v>
      </c>
      <c r="K8" t="s">
        <v>122</v>
      </c>
      <c r="L8" t="s">
        <v>97</v>
      </c>
      <c r="M8" s="3">
        <v>17</v>
      </c>
      <c r="N8">
        <v>1.9</v>
      </c>
      <c r="O8" s="2">
        <f t="shared" si="0"/>
        <v>0.11874999999999999</v>
      </c>
      <c r="P8" s="14"/>
    </row>
    <row r="9" spans="1:20" x14ac:dyDescent="0.3">
      <c r="A9" s="13" t="s">
        <v>65</v>
      </c>
      <c r="C9" s="3">
        <v>144</v>
      </c>
      <c r="D9">
        <v>14</v>
      </c>
      <c r="E9" s="2">
        <f t="shared" si="1"/>
        <v>0.875</v>
      </c>
      <c r="K9" t="s">
        <v>122</v>
      </c>
      <c r="L9" t="s">
        <v>98</v>
      </c>
      <c r="M9" s="3">
        <v>0</v>
      </c>
      <c r="N9">
        <v>35</v>
      </c>
      <c r="O9" s="2">
        <f t="shared" si="0"/>
        <v>2.1875</v>
      </c>
      <c r="P9" s="14"/>
    </row>
    <row r="10" spans="1:20" x14ac:dyDescent="0.3">
      <c r="A10" s="13" t="s">
        <v>67</v>
      </c>
      <c r="C10" s="3">
        <v>4.95</v>
      </c>
      <c r="D10">
        <f>3.53</f>
        <v>3.53</v>
      </c>
      <c r="E10" s="2">
        <f t="shared" si="1"/>
        <v>0.22062499999999999</v>
      </c>
      <c r="P10" s="14" t="s">
        <v>101</v>
      </c>
    </row>
    <row r="11" spans="1:20" x14ac:dyDescent="0.3">
      <c r="A11" s="13" t="s">
        <v>67</v>
      </c>
      <c r="C11" s="3">
        <v>4.95</v>
      </c>
      <c r="D11">
        <v>3.53</v>
      </c>
      <c r="E11" s="2">
        <f t="shared" si="1"/>
        <v>0.22062499999999999</v>
      </c>
      <c r="L11" s="4" t="s">
        <v>70</v>
      </c>
      <c r="M11" s="8"/>
      <c r="N11" s="9">
        <f>SUM(N4:N9)</f>
        <v>106.9</v>
      </c>
      <c r="O11" s="10">
        <f>SUM(O4:O10)</f>
        <v>6.6812500000000004</v>
      </c>
      <c r="P11" s="15">
        <f>O11/70</f>
        <v>9.5446428571428571E-2</v>
      </c>
    </row>
    <row r="12" spans="1:20" x14ac:dyDescent="0.3">
      <c r="A12" s="13" t="s">
        <v>74</v>
      </c>
      <c r="C12" s="3">
        <v>229</v>
      </c>
      <c r="D12">
        <v>122</v>
      </c>
      <c r="E12" s="2">
        <f t="shared" si="1"/>
        <v>7.625</v>
      </c>
      <c r="I12" s="1"/>
      <c r="L12" s="156"/>
      <c r="M12" s="156"/>
      <c r="O12" s="2"/>
      <c r="P12" s="14"/>
    </row>
    <row r="13" spans="1:20" x14ac:dyDescent="0.3">
      <c r="A13" s="13" t="s">
        <v>73</v>
      </c>
      <c r="C13" s="3">
        <v>39.950000000000003</v>
      </c>
      <c r="D13">
        <v>16.600000000000001</v>
      </c>
      <c r="E13" s="2">
        <f t="shared" si="1"/>
        <v>1.0375000000000001</v>
      </c>
      <c r="I13" s="1"/>
      <c r="L13" s="155" t="s">
        <v>92</v>
      </c>
      <c r="M13" s="155"/>
      <c r="N13" s="19" t="s">
        <v>108</v>
      </c>
      <c r="O13" s="20">
        <f>O22</f>
        <v>5.5562500000000004</v>
      </c>
      <c r="P13" s="14"/>
    </row>
    <row r="14" spans="1:20" x14ac:dyDescent="0.3">
      <c r="A14" s="22" t="s">
        <v>111</v>
      </c>
      <c r="B14" s="24"/>
      <c r="C14" s="3">
        <v>258</v>
      </c>
      <c r="D14">
        <v>30.6</v>
      </c>
      <c r="E14" s="2">
        <f t="shared" si="1"/>
        <v>1.9125000000000001</v>
      </c>
      <c r="I14" s="1"/>
      <c r="L14" t="s">
        <v>2</v>
      </c>
      <c r="M14" t="s">
        <v>3</v>
      </c>
      <c r="N14" t="s">
        <v>43</v>
      </c>
      <c r="O14" t="s">
        <v>44</v>
      </c>
      <c r="P14" s="14" t="s">
        <v>4</v>
      </c>
    </row>
    <row r="15" spans="1:20" x14ac:dyDescent="0.3">
      <c r="A15" s="22" t="s">
        <v>71</v>
      </c>
      <c r="B15" s="24"/>
      <c r="C15" s="3">
        <v>35.89</v>
      </c>
      <c r="D15">
        <v>4</v>
      </c>
      <c r="E15" s="2">
        <f t="shared" si="1"/>
        <v>0.25</v>
      </c>
      <c r="I15" s="1"/>
      <c r="K15" t="s">
        <v>122</v>
      </c>
      <c r="L15" t="s">
        <v>89</v>
      </c>
      <c r="M15" s="3">
        <v>80</v>
      </c>
      <c r="N15">
        <v>18</v>
      </c>
      <c r="O15" s="2">
        <f>N15/16</f>
        <v>1.125</v>
      </c>
      <c r="P15" s="14"/>
    </row>
    <row r="16" spans="1:20" x14ac:dyDescent="0.3">
      <c r="A16" s="22" t="s">
        <v>75</v>
      </c>
      <c r="B16" s="24"/>
      <c r="C16" s="3">
        <v>143.96</v>
      </c>
      <c r="D16">
        <v>21</v>
      </c>
      <c r="E16" s="2">
        <f t="shared" si="1"/>
        <v>1.3125</v>
      </c>
      <c r="I16" s="1"/>
      <c r="K16" t="s">
        <v>122</v>
      </c>
      <c r="L16" t="s">
        <v>93</v>
      </c>
      <c r="M16">
        <v>2</v>
      </c>
      <c r="N16">
        <f>15.8*M16</f>
        <v>31.6</v>
      </c>
      <c r="O16" s="2">
        <f>N16/16</f>
        <v>1.9750000000000001</v>
      </c>
      <c r="P16" s="14"/>
    </row>
    <row r="17" spans="1:16" x14ac:dyDescent="0.3">
      <c r="A17" s="13" t="s">
        <v>69</v>
      </c>
      <c r="C17" s="3">
        <v>49.95</v>
      </c>
      <c r="D17">
        <v>7.4</v>
      </c>
      <c r="E17" s="2">
        <f t="shared" si="1"/>
        <v>0.46250000000000002</v>
      </c>
      <c r="I17" s="1"/>
      <c r="K17" t="s">
        <v>122</v>
      </c>
      <c r="L17" t="s">
        <v>95</v>
      </c>
      <c r="M17" s="3">
        <v>15</v>
      </c>
      <c r="N17">
        <v>2.4</v>
      </c>
      <c r="O17" s="2">
        <f>N17/16</f>
        <v>0.15</v>
      </c>
      <c r="P17" s="14"/>
    </row>
    <row r="18" spans="1:16" x14ac:dyDescent="0.3">
      <c r="A18" s="22" t="s">
        <v>116</v>
      </c>
      <c r="B18" s="24"/>
      <c r="C18" s="3">
        <v>4.95</v>
      </c>
      <c r="D18">
        <v>1.4</v>
      </c>
      <c r="E18" s="2">
        <f t="shared" si="1"/>
        <v>8.7499999999999994E-2</v>
      </c>
      <c r="I18" s="1"/>
      <c r="K18" t="s">
        <v>122</v>
      </c>
      <c r="L18" t="s">
        <v>97</v>
      </c>
      <c r="M18" s="3">
        <v>17</v>
      </c>
      <c r="N18">
        <v>1.9</v>
      </c>
      <c r="O18" s="2">
        <f>N18/16</f>
        <v>0.11874999999999999</v>
      </c>
      <c r="P18" s="14"/>
    </row>
    <row r="19" spans="1:16" ht="144" x14ac:dyDescent="0.3">
      <c r="A19" s="23" t="s">
        <v>100</v>
      </c>
      <c r="B19" s="25"/>
      <c r="C19" s="3">
        <v>48.69</v>
      </c>
      <c r="D19">
        <v>18.399999999999999</v>
      </c>
      <c r="E19" s="2">
        <f t="shared" si="1"/>
        <v>1.1499999999999999</v>
      </c>
      <c r="K19" t="s">
        <v>122</v>
      </c>
      <c r="L19" t="s">
        <v>98</v>
      </c>
      <c r="M19" s="3">
        <v>0</v>
      </c>
      <c r="N19">
        <v>35</v>
      </c>
      <c r="O19" s="2">
        <f>N19/16</f>
        <v>2.1875</v>
      </c>
      <c r="P19" s="14"/>
    </row>
    <row r="20" spans="1:16" ht="86.4" x14ac:dyDescent="0.3">
      <c r="A20" s="16" t="s">
        <v>81</v>
      </c>
      <c r="B20" s="26"/>
      <c r="C20" s="3">
        <v>52.39</v>
      </c>
      <c r="D20">
        <v>7.6</v>
      </c>
      <c r="E20" s="2">
        <f t="shared" si="1"/>
        <v>0.47499999999999998</v>
      </c>
      <c r="K20" t="s">
        <v>122</v>
      </c>
      <c r="L20" t="s">
        <v>109</v>
      </c>
      <c r="P20" s="14"/>
    </row>
    <row r="21" spans="1:16" x14ac:dyDescent="0.3">
      <c r="A21" s="13" t="s">
        <v>117</v>
      </c>
      <c r="C21" s="3">
        <v>89.95</v>
      </c>
      <c r="D21">
        <v>12.4</v>
      </c>
      <c r="E21" s="2">
        <f t="shared" si="1"/>
        <v>0.77500000000000002</v>
      </c>
      <c r="L21" t="s">
        <v>110</v>
      </c>
      <c r="P21" s="14" t="s">
        <v>101</v>
      </c>
    </row>
    <row r="22" spans="1:16" x14ac:dyDescent="0.3">
      <c r="A22" s="13" t="s">
        <v>78</v>
      </c>
      <c r="C22" s="3"/>
      <c r="E22" s="2">
        <f t="shared" si="1"/>
        <v>0</v>
      </c>
      <c r="L22" s="4" t="s">
        <v>70</v>
      </c>
      <c r="M22" s="8"/>
      <c r="N22" s="9">
        <f>SUM(N15:N19)</f>
        <v>88.9</v>
      </c>
      <c r="O22" s="10">
        <f>SUM(O15:O19)</f>
        <v>5.5562500000000004</v>
      </c>
      <c r="P22" s="15">
        <f>O22/58</f>
        <v>9.5797413793103456E-2</v>
      </c>
    </row>
    <row r="23" spans="1:16" x14ac:dyDescent="0.3">
      <c r="A23" s="13" t="s">
        <v>66</v>
      </c>
      <c r="C23" s="3">
        <v>79.95</v>
      </c>
      <c r="D23">
        <v>48.7</v>
      </c>
      <c r="E23" s="2">
        <f t="shared" si="1"/>
        <v>3.0437500000000002</v>
      </c>
      <c r="P23" s="14"/>
    </row>
    <row r="24" spans="1:16" x14ac:dyDescent="0.3">
      <c r="A24" s="13" t="s">
        <v>68</v>
      </c>
      <c r="C24" s="3">
        <v>299</v>
      </c>
      <c r="D24">
        <v>3.5</v>
      </c>
      <c r="E24" s="2">
        <f t="shared" si="1"/>
        <v>0.21875</v>
      </c>
      <c r="P24" s="14"/>
    </row>
    <row r="25" spans="1:16" x14ac:dyDescent="0.3">
      <c r="A25" s="13" t="s">
        <v>72</v>
      </c>
      <c r="C25" s="3">
        <v>5</v>
      </c>
      <c r="D25">
        <v>4</v>
      </c>
      <c r="E25" s="2">
        <f t="shared" si="1"/>
        <v>0.25</v>
      </c>
      <c r="P25" s="14"/>
    </row>
    <row r="26" spans="1:16" x14ac:dyDescent="0.3">
      <c r="A26" s="13" t="s">
        <v>83</v>
      </c>
      <c r="C26" s="3">
        <v>59.89</v>
      </c>
      <c r="D26">
        <v>5</v>
      </c>
      <c r="E26" s="2">
        <f t="shared" si="1"/>
        <v>0.3125</v>
      </c>
      <c r="P26" s="14"/>
    </row>
    <row r="27" spans="1:16" x14ac:dyDescent="0.3">
      <c r="A27" s="13" t="s">
        <v>114</v>
      </c>
      <c r="C27" s="3"/>
      <c r="E27" s="2"/>
      <c r="P27" s="14"/>
    </row>
    <row r="28" spans="1:16" x14ac:dyDescent="0.3">
      <c r="A28" s="13" t="s">
        <v>115</v>
      </c>
      <c r="C28" s="3"/>
      <c r="E28" s="2"/>
      <c r="P28" s="14"/>
    </row>
    <row r="29" spans="1:16" x14ac:dyDescent="0.3">
      <c r="A29" s="13" t="s">
        <v>79</v>
      </c>
      <c r="C29" s="3">
        <v>120</v>
      </c>
      <c r="D29">
        <v>18</v>
      </c>
      <c r="E29" s="2">
        <f t="shared" si="1"/>
        <v>1.125</v>
      </c>
      <c r="P29" s="14"/>
    </row>
    <row r="30" spans="1:16" x14ac:dyDescent="0.3">
      <c r="A30" s="13" t="s">
        <v>80</v>
      </c>
      <c r="C30" s="3">
        <v>215</v>
      </c>
      <c r="D30">
        <v>17</v>
      </c>
      <c r="E30" s="2">
        <f t="shared" si="1"/>
        <v>1.0625</v>
      </c>
      <c r="P30" s="14"/>
    </row>
    <row r="31" spans="1:16" x14ac:dyDescent="0.3">
      <c r="A31" s="13" t="s">
        <v>82</v>
      </c>
      <c r="C31" s="3">
        <v>68.989999999999995</v>
      </c>
      <c r="E31" s="2">
        <f t="shared" si="1"/>
        <v>0</v>
      </c>
      <c r="P31" s="14"/>
    </row>
    <row r="32" spans="1:16" x14ac:dyDescent="0.3">
      <c r="A32" s="13" t="s">
        <v>82</v>
      </c>
      <c r="C32" s="3">
        <v>68.989999999999995</v>
      </c>
      <c r="E32" s="2">
        <f t="shared" si="1"/>
        <v>0</v>
      </c>
      <c r="P32" s="14"/>
    </row>
    <row r="33" spans="1:16" x14ac:dyDescent="0.3">
      <c r="A33" s="13" t="s">
        <v>85</v>
      </c>
      <c r="C33" s="3">
        <v>50</v>
      </c>
      <c r="D33">
        <v>4.2</v>
      </c>
      <c r="E33" s="2">
        <f t="shared" si="1"/>
        <v>0.26250000000000001</v>
      </c>
      <c r="P33" s="14"/>
    </row>
    <row r="34" spans="1:16" x14ac:dyDescent="0.3">
      <c r="A34" s="13" t="s">
        <v>112</v>
      </c>
      <c r="C34" s="3">
        <v>129</v>
      </c>
      <c r="E34" s="2">
        <f t="shared" si="1"/>
        <v>0</v>
      </c>
      <c r="P34" s="14"/>
    </row>
    <row r="35" spans="1:16" x14ac:dyDescent="0.3">
      <c r="A35" s="13" t="s">
        <v>118</v>
      </c>
      <c r="C35" s="3">
        <v>44</v>
      </c>
      <c r="D35">
        <v>8.9</v>
      </c>
      <c r="E35" s="2">
        <f t="shared" si="1"/>
        <v>0.55625000000000002</v>
      </c>
      <c r="P35" s="14"/>
    </row>
    <row r="36" spans="1:16" x14ac:dyDescent="0.3">
      <c r="A36" s="13" t="s">
        <v>120</v>
      </c>
      <c r="C36" s="3"/>
      <c r="E36" s="2"/>
      <c r="P36" s="14"/>
    </row>
    <row r="37" spans="1:16" x14ac:dyDescent="0.3">
      <c r="A37" s="13" t="s">
        <v>119</v>
      </c>
      <c r="C37" s="3"/>
      <c r="E37" s="2"/>
      <c r="P37" s="14"/>
    </row>
    <row r="38" spans="1:16" x14ac:dyDescent="0.3">
      <c r="A38" s="13" t="s">
        <v>113</v>
      </c>
      <c r="E38" s="2">
        <f t="shared" si="1"/>
        <v>0</v>
      </c>
      <c r="P38" s="14"/>
    </row>
    <row r="39" spans="1:16" x14ac:dyDescent="0.3">
      <c r="A39" s="13" t="s">
        <v>86</v>
      </c>
      <c r="C39" s="3">
        <v>800</v>
      </c>
      <c r="D39">
        <v>45</v>
      </c>
      <c r="E39" s="2">
        <f>D39/16</f>
        <v>2.8125</v>
      </c>
      <c r="P39" s="14"/>
    </row>
    <row r="40" spans="1:16" x14ac:dyDescent="0.3">
      <c r="A40" s="13" t="s">
        <v>87</v>
      </c>
      <c r="C40" s="3">
        <v>150</v>
      </c>
      <c r="D40">
        <v>16</v>
      </c>
      <c r="E40" s="2">
        <f>D40/16</f>
        <v>1</v>
      </c>
      <c r="P40" s="14"/>
    </row>
    <row r="41" spans="1:16" x14ac:dyDescent="0.3">
      <c r="A41" s="13" t="s">
        <v>88</v>
      </c>
      <c r="C41" s="3"/>
      <c r="E41" s="2"/>
      <c r="P41" s="14"/>
    </row>
    <row r="42" spans="1:16" x14ac:dyDescent="0.3">
      <c r="A42" s="4" t="s">
        <v>70</v>
      </c>
      <c r="B42" s="6"/>
      <c r="C42" s="5">
        <f>SUM(C4:C41)</f>
        <v>3579.8100000000004</v>
      </c>
      <c r="D42" s="6">
        <f>SUM(D4:D40)</f>
        <v>523.55999999999995</v>
      </c>
      <c r="E42" s="11">
        <f>SUM(E4:E40)</f>
        <v>32.722499999999997</v>
      </c>
      <c r="F42" s="17"/>
      <c r="G42" s="17"/>
      <c r="H42" s="6"/>
      <c r="I42" s="7"/>
      <c r="J42" s="17"/>
      <c r="K42" s="17"/>
      <c r="L42" s="17"/>
      <c r="M42" s="17"/>
      <c r="N42" s="17"/>
      <c r="O42" s="17"/>
      <c r="P42" s="18"/>
    </row>
    <row r="43" spans="1:16" x14ac:dyDescent="0.3">
      <c r="C43" s="3"/>
    </row>
    <row r="44" spans="1:16" x14ac:dyDescent="0.3">
      <c r="C44" s="3"/>
    </row>
    <row r="45" spans="1:16" x14ac:dyDescent="0.3">
      <c r="C45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6"/>
  <sheetViews>
    <sheetView workbookViewId="0"/>
  </sheetViews>
  <sheetFormatPr defaultRowHeight="14.4" x14ac:dyDescent="0.3"/>
  <sheetData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6</v>
      </c>
      <c r="B3">
        <v>169</v>
      </c>
    </row>
    <row r="4" spans="1:3" x14ac:dyDescent="0.3">
      <c r="A4" t="s">
        <v>7</v>
      </c>
      <c r="B4">
        <v>119</v>
      </c>
    </row>
    <row r="5" spans="1:3" x14ac:dyDescent="0.3">
      <c r="A5" t="s">
        <v>8</v>
      </c>
    </row>
    <row r="6" spans="1:3" x14ac:dyDescent="0.3">
      <c r="A6" t="s">
        <v>9</v>
      </c>
    </row>
    <row r="7" spans="1:3" x14ac:dyDescent="0.3">
      <c r="A7" t="s">
        <v>10</v>
      </c>
    </row>
    <row r="8" spans="1:3" x14ac:dyDescent="0.3">
      <c r="A8" t="s">
        <v>11</v>
      </c>
    </row>
    <row r="9" spans="1:3" x14ac:dyDescent="0.3">
      <c r="A9" t="s">
        <v>12</v>
      </c>
    </row>
    <row r="10" spans="1:3" x14ac:dyDescent="0.3">
      <c r="A10" t="s">
        <v>13</v>
      </c>
    </row>
    <row r="11" spans="1:3" x14ac:dyDescent="0.3">
      <c r="A11" t="s">
        <v>14</v>
      </c>
    </row>
    <row r="12" spans="1:3" x14ac:dyDescent="0.3">
      <c r="A12" t="s">
        <v>15</v>
      </c>
    </row>
    <row r="13" spans="1:3" x14ac:dyDescent="0.3">
      <c r="A13" t="s">
        <v>16</v>
      </c>
    </row>
    <row r="14" spans="1:3" x14ac:dyDescent="0.3">
      <c r="A14" t="s">
        <v>17</v>
      </c>
    </row>
    <row r="15" spans="1:3" x14ac:dyDescent="0.3">
      <c r="A15" t="s">
        <v>18</v>
      </c>
    </row>
    <row r="16" spans="1:3" x14ac:dyDescent="0.3">
      <c r="A16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workbookViewId="0"/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43</v>
      </c>
      <c r="D1" t="s">
        <v>44</v>
      </c>
      <c r="E1" t="s">
        <v>58</v>
      </c>
      <c r="F1" t="s">
        <v>4</v>
      </c>
    </row>
    <row r="2" spans="1:6" x14ac:dyDescent="0.3">
      <c r="A2" t="s">
        <v>20</v>
      </c>
      <c r="B2" s="1">
        <v>2500</v>
      </c>
      <c r="C2" s="2"/>
      <c r="D2" s="2"/>
      <c r="E2" s="2"/>
    </row>
    <row r="3" spans="1:6" x14ac:dyDescent="0.3">
      <c r="A3" t="s">
        <v>21</v>
      </c>
      <c r="B3" s="1">
        <v>900</v>
      </c>
      <c r="C3" s="2"/>
      <c r="D3" s="2"/>
      <c r="E3" s="2"/>
    </row>
    <row r="4" spans="1:6" x14ac:dyDescent="0.3">
      <c r="A4" t="s">
        <v>26</v>
      </c>
      <c r="B4" s="1"/>
      <c r="C4" s="2"/>
      <c r="D4" s="2"/>
      <c r="E4" s="2"/>
    </row>
    <row r="5" spans="1:6" x14ac:dyDescent="0.3">
      <c r="A5" t="s">
        <v>39</v>
      </c>
      <c r="B5" s="1">
        <f>139*0.88</f>
        <v>122.32000000000001</v>
      </c>
      <c r="C5" s="2">
        <f>D5*16</f>
        <v>25.6</v>
      </c>
      <c r="D5" s="2">
        <v>1.6</v>
      </c>
      <c r="E5" s="2"/>
      <c r="F5" t="s">
        <v>22</v>
      </c>
    </row>
    <row r="6" spans="1:6" x14ac:dyDescent="0.3">
      <c r="A6" t="s">
        <v>40</v>
      </c>
      <c r="B6" s="1">
        <f>135*0.88</f>
        <v>118.8</v>
      </c>
      <c r="C6" s="2">
        <v>28.7</v>
      </c>
      <c r="D6" s="2"/>
      <c r="E6" s="2"/>
    </row>
    <row r="7" spans="1:6" x14ac:dyDescent="0.3">
      <c r="A7" t="s">
        <v>41</v>
      </c>
      <c r="B7" s="1">
        <f>34*0.88</f>
        <v>29.92</v>
      </c>
      <c r="C7" s="2">
        <v>5</v>
      </c>
      <c r="D7" s="2"/>
      <c r="E7" s="2"/>
    </row>
    <row r="8" spans="1:6" x14ac:dyDescent="0.3">
      <c r="A8" t="s">
        <v>42</v>
      </c>
      <c r="B8" s="1">
        <f>20*0.88</f>
        <v>17.600000000000001</v>
      </c>
      <c r="C8" s="2">
        <v>2</v>
      </c>
      <c r="D8" s="2"/>
      <c r="E8" s="2"/>
    </row>
    <row r="9" spans="1:6" x14ac:dyDescent="0.3">
      <c r="A9" t="s">
        <v>5</v>
      </c>
      <c r="B9" s="1">
        <v>0</v>
      </c>
      <c r="C9" s="2"/>
      <c r="D9" s="2"/>
      <c r="E9" s="2" t="s">
        <v>59</v>
      </c>
    </row>
    <row r="10" spans="1:6" x14ac:dyDescent="0.3">
      <c r="A10" t="s">
        <v>23</v>
      </c>
      <c r="B10" s="1">
        <v>140</v>
      </c>
      <c r="C10" s="2">
        <v>7.2</v>
      </c>
      <c r="D10" s="2"/>
      <c r="E10" s="2"/>
      <c r="F10" t="s">
        <v>50</v>
      </c>
    </row>
    <row r="11" spans="1:6" x14ac:dyDescent="0.3">
      <c r="A11" t="s">
        <v>51</v>
      </c>
      <c r="B11" s="1">
        <v>120</v>
      </c>
      <c r="C11" s="2">
        <v>18</v>
      </c>
      <c r="D11" s="2"/>
      <c r="E11" s="2" t="s">
        <v>59</v>
      </c>
      <c r="F11" t="s">
        <v>60</v>
      </c>
    </row>
    <row r="12" spans="1:6" x14ac:dyDescent="0.3">
      <c r="A12" t="s">
        <v>52</v>
      </c>
      <c r="B12" s="1">
        <v>150</v>
      </c>
      <c r="C12" s="2">
        <v>19.399999999999999</v>
      </c>
      <c r="D12" s="2"/>
      <c r="E12" s="2"/>
      <c r="F12" t="s">
        <v>61</v>
      </c>
    </row>
    <row r="13" spans="1:6" x14ac:dyDescent="0.3">
      <c r="A13" t="s">
        <v>53</v>
      </c>
      <c r="B13" s="1"/>
      <c r="C13" s="2"/>
      <c r="D13" s="2"/>
      <c r="E13" s="2" t="s">
        <v>59</v>
      </c>
    </row>
    <row r="14" spans="1:6" x14ac:dyDescent="0.3">
      <c r="A14" t="s">
        <v>54</v>
      </c>
      <c r="B14" s="1">
        <v>250</v>
      </c>
      <c r="C14" s="2">
        <v>12</v>
      </c>
      <c r="D14" s="2"/>
      <c r="E14" s="2"/>
      <c r="F14" t="s">
        <v>63</v>
      </c>
    </row>
    <row r="15" spans="1:6" x14ac:dyDescent="0.3">
      <c r="A15" t="s">
        <v>55</v>
      </c>
      <c r="B15" s="1">
        <v>215</v>
      </c>
      <c r="C15" s="2">
        <v>19</v>
      </c>
      <c r="D15" s="2"/>
      <c r="E15" s="2" t="s">
        <v>59</v>
      </c>
      <c r="F15" t="s">
        <v>62</v>
      </c>
    </row>
    <row r="16" spans="1:6" x14ac:dyDescent="0.3">
      <c r="A16" t="s">
        <v>24</v>
      </c>
      <c r="B16" s="1"/>
      <c r="C16" s="2"/>
      <c r="D16" s="2"/>
      <c r="E16" s="2"/>
    </row>
    <row r="17" spans="1:6" x14ac:dyDescent="0.3">
      <c r="A17" t="s">
        <v>56</v>
      </c>
      <c r="B17" s="1"/>
      <c r="C17" s="2"/>
      <c r="D17" s="2"/>
      <c r="E17" s="2" t="s">
        <v>59</v>
      </c>
    </row>
    <row r="18" spans="1:6" x14ac:dyDescent="0.3">
      <c r="A18" t="s">
        <v>57</v>
      </c>
      <c r="B18" s="1"/>
      <c r="C18" s="2"/>
      <c r="D18" s="2"/>
      <c r="E18" s="2" t="s">
        <v>59</v>
      </c>
    </row>
    <row r="19" spans="1:6" x14ac:dyDescent="0.3">
      <c r="A19" t="s">
        <v>27</v>
      </c>
      <c r="B19" s="1">
        <v>900</v>
      </c>
      <c r="C19" s="2"/>
      <c r="D19" s="2"/>
      <c r="E19" s="2"/>
      <c r="F19" t="s">
        <v>45</v>
      </c>
    </row>
    <row r="20" spans="1:6" x14ac:dyDescent="0.3">
      <c r="A20" t="s">
        <v>46</v>
      </c>
      <c r="B20" s="1">
        <v>80</v>
      </c>
      <c r="C20" s="2"/>
      <c r="D20" s="2"/>
      <c r="E20" s="2"/>
      <c r="F20" t="s">
        <v>49</v>
      </c>
    </row>
    <row r="21" spans="1:6" x14ac:dyDescent="0.3">
      <c r="A21" t="s">
        <v>47</v>
      </c>
      <c r="B21" s="1">
        <v>20</v>
      </c>
      <c r="C21" s="2"/>
      <c r="D21" s="2"/>
      <c r="E21" s="2"/>
      <c r="F21" t="s">
        <v>48</v>
      </c>
    </row>
    <row r="22" spans="1:6" x14ac:dyDescent="0.3">
      <c r="A22" t="s">
        <v>28</v>
      </c>
      <c r="B22" s="1"/>
      <c r="C22" s="2"/>
      <c r="D22" s="2"/>
      <c r="E22" s="2"/>
    </row>
    <row r="23" spans="1:6" x14ac:dyDescent="0.3">
      <c r="A23" t="s">
        <v>29</v>
      </c>
      <c r="B23" s="1">
        <v>50</v>
      </c>
      <c r="C23" s="2"/>
      <c r="D23" s="2"/>
      <c r="E23" s="2" t="s">
        <v>59</v>
      </c>
      <c r="F23" t="s">
        <v>37</v>
      </c>
    </row>
    <row r="24" spans="1:6" x14ac:dyDescent="0.3">
      <c r="A24" t="s">
        <v>30</v>
      </c>
      <c r="B24" s="1">
        <v>0</v>
      </c>
      <c r="C24" s="2"/>
      <c r="D24" s="2"/>
      <c r="E24" s="2" t="s">
        <v>59</v>
      </c>
      <c r="F24" t="s">
        <v>38</v>
      </c>
    </row>
    <row r="25" spans="1:6" x14ac:dyDescent="0.3">
      <c r="A25" t="s">
        <v>31</v>
      </c>
      <c r="B25" s="1">
        <v>0</v>
      </c>
      <c r="C25" s="2"/>
      <c r="D25" s="2"/>
      <c r="E25" s="2" t="s">
        <v>59</v>
      </c>
      <c r="F25" t="s">
        <v>38</v>
      </c>
    </row>
    <row r="26" spans="1:6" x14ac:dyDescent="0.3">
      <c r="A26" t="s">
        <v>25</v>
      </c>
      <c r="B26" s="1"/>
      <c r="C26" s="2"/>
      <c r="D26" s="2"/>
      <c r="E26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32</v>
      </c>
    </row>
    <row r="3" spans="1:3" x14ac:dyDescent="0.3">
      <c r="A3" t="s">
        <v>33</v>
      </c>
    </row>
    <row r="4" spans="1:3" x14ac:dyDescent="0.3">
      <c r="A4" t="s">
        <v>34</v>
      </c>
    </row>
    <row r="5" spans="1:3" x14ac:dyDescent="0.3">
      <c r="A5" t="s">
        <v>35</v>
      </c>
    </row>
    <row r="6" spans="1:3" x14ac:dyDescent="0.3">
      <c r="A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Goat 2024</vt:lpstr>
      <vt:lpstr>Abe Moose</vt:lpstr>
      <vt:lpstr>Denali RV</vt:lpstr>
      <vt:lpstr>Sheep 2022</vt:lpstr>
      <vt:lpstr>Sheep 2021</vt:lpstr>
      <vt:lpstr>Sheet2</vt:lpstr>
      <vt:lpstr>2020-21 Wishlist</vt:lpstr>
      <vt:lpstr>Boat&amp;Bou</vt:lpstr>
      <vt:lpstr>Sheep 2020</vt:lpstr>
      <vt:lpstr>Bear Hunt</vt:lpstr>
      <vt:lpstr>Crows Pass Backpacking</vt:lpstr>
      <vt:lpstr>Fly fishing</vt:lpstr>
      <vt:lpstr>Moose Hunt</vt:lpstr>
      <vt:lpstr>Duck hunt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Wiens, Matt R</dc:creator>
  <cp:keywords/>
  <dc:description/>
  <cp:lastModifiedBy>Matt Smith</cp:lastModifiedBy>
  <cp:revision/>
  <cp:lastPrinted>2020-09-18T19:34:14Z</cp:lastPrinted>
  <dcterms:created xsi:type="dcterms:W3CDTF">2019-04-27T16:35:51Z</dcterms:created>
  <dcterms:modified xsi:type="dcterms:W3CDTF">2024-07-29T01:25:25Z</dcterms:modified>
  <cp:category/>
  <cp:contentStatus/>
</cp:coreProperties>
</file>