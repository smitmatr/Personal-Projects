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checkCompatibility="1" autoCompressPictures="0"/>
  <bookViews>
    <workbookView xWindow="6195" yWindow="-15" windowWidth="9825" windowHeight="13365" tabRatio="478"/>
  </bookViews>
  <sheets>
    <sheet name="Sheet1" sheetId="1" r:id="rId1"/>
    <sheet name="Compatibility Report" sheetId="2" r:id="rId2"/>
  </sheets>
  <definedNames>
    <definedName name="_xlnm.Print_Area" localSheetId="0">Sheet1!$A$1:$H$46</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C30" i="1" l="1"/>
  <c r="U30" i="1"/>
  <c r="V30" i="1"/>
  <c r="G30" i="1"/>
  <c r="F30" i="1"/>
  <c r="D6" i="1"/>
  <c r="D10" i="1"/>
  <c r="D12" i="1"/>
  <c r="G12" i="1"/>
  <c r="T43" i="1"/>
  <c r="K43" i="1"/>
  <c r="L43" i="1"/>
  <c r="E32" i="1"/>
  <c r="D32" i="1"/>
  <c r="G32" i="1"/>
  <c r="J44" i="1"/>
  <c r="D34" i="1"/>
  <c r="E30" i="1"/>
  <c r="E34" i="1"/>
  <c r="F34" i="1"/>
  <c r="G34" i="1"/>
  <c r="T44" i="1"/>
  <c r="K44" i="1"/>
  <c r="L44" i="1"/>
  <c r="K45" i="1"/>
  <c r="L45" i="1"/>
  <c r="M44" i="1"/>
  <c r="N44" i="1"/>
  <c r="O44" i="1"/>
  <c r="P44" i="1"/>
  <c r="Q44" i="1"/>
  <c r="R44" i="1"/>
  <c r="S44" i="1"/>
  <c r="D8" i="1"/>
  <c r="G3" i="1"/>
  <c r="C20" i="1"/>
  <c r="C16" i="1"/>
  <c r="T45" i="1"/>
  <c r="M43" i="1"/>
  <c r="N43" i="1"/>
  <c r="O43" i="1"/>
  <c r="P43" i="1"/>
  <c r="Q43" i="1"/>
  <c r="R43" i="1"/>
  <c r="S43" i="1"/>
  <c r="S45" i="1"/>
  <c r="R45" i="1"/>
  <c r="Q45" i="1"/>
  <c r="P45" i="1"/>
  <c r="O45" i="1"/>
  <c r="N45" i="1"/>
  <c r="M45" i="1"/>
  <c r="C22" i="1"/>
  <c r="C14" i="1"/>
  <c r="D14" i="1"/>
  <c r="D16" i="1"/>
  <c r="C18" i="1"/>
  <c r="D18" i="1"/>
  <c r="D20" i="1"/>
  <c r="D22" i="1"/>
  <c r="D24" i="1"/>
  <c r="G24" i="1"/>
  <c r="E17" i="1"/>
  <c r="F17" i="1"/>
  <c r="G17" i="1"/>
  <c r="H17" i="1"/>
  <c r="F20" i="1"/>
  <c r="H20" i="1"/>
  <c r="E12" i="1"/>
  <c r="D27" i="1"/>
  <c r="G27" i="1"/>
  <c r="C36" i="1"/>
  <c r="E36" i="1"/>
  <c r="F36" i="1"/>
  <c r="G36" i="1"/>
  <c r="C40" i="1"/>
  <c r="D40" i="1"/>
  <c r="F40" i="1"/>
  <c r="G40" i="1"/>
  <c r="C38" i="1"/>
  <c r="D38" i="1"/>
  <c r="F38" i="1"/>
  <c r="G38" i="1"/>
  <c r="G20" i="1"/>
  <c r="E24" i="1"/>
</calcChain>
</file>

<file path=xl/sharedStrings.xml><?xml version="1.0" encoding="utf-8"?>
<sst xmlns="http://schemas.openxmlformats.org/spreadsheetml/2006/main" count="114" uniqueCount="101">
  <si>
    <t>DP capacity</t>
  </si>
  <si>
    <t>Well Depth:</t>
  </si>
  <si>
    <t>MD</t>
  </si>
  <si>
    <t>TVD</t>
  </si>
  <si>
    <t>DC capacity</t>
  </si>
  <si>
    <t>CSG Depth:</t>
  </si>
  <si>
    <t xml:space="preserve">                    </t>
  </si>
  <si>
    <t xml:space="preserve">Volume </t>
  </si>
  <si>
    <t>DP &amp; OH</t>
  </si>
  <si>
    <t>DC &amp; OH</t>
  </si>
  <si>
    <t>Formulas:</t>
  </si>
  <si>
    <t xml:space="preserve">                                     Well Kill Calculations &amp; Pressure Considerations</t>
  </si>
  <si>
    <t>KICK SIZE</t>
  </si>
  <si>
    <t>SIDPP</t>
  </si>
  <si>
    <t>SICP</t>
  </si>
  <si>
    <t xml:space="preserve">Kill  Weight Mud:       </t>
  </si>
  <si>
    <t>Initial Circulating Pressure:</t>
  </si>
  <si>
    <t>Final Circulating Pressure:</t>
  </si>
  <si>
    <t xml:space="preserve">Max. Allowable Mud Wt: </t>
  </si>
  <si>
    <t xml:space="preserve">Max. Allowable Annular     </t>
  </si>
  <si>
    <t xml:space="preserve">DP &amp; OH        </t>
  </si>
  <si>
    <t xml:space="preserve"> bringing pump</t>
  </si>
  <si>
    <t xml:space="preserve">       (Subsea only)   Slowly reduce </t>
  </si>
  <si>
    <r>
      <t>Pipe capacity = ID</t>
    </r>
    <r>
      <rPr>
        <vertAlign val="superscript"/>
        <sz val="9"/>
        <color theme="1"/>
        <rFont val="Calibri"/>
        <family val="2"/>
        <scheme val="minor"/>
      </rPr>
      <t>2</t>
    </r>
    <r>
      <rPr>
        <sz val="9"/>
        <color theme="1"/>
        <rFont val="Calibri"/>
        <family val="2"/>
        <scheme val="minor"/>
      </rPr>
      <t xml:space="preserve"> ÷ 1029.4 = bbls/ft  </t>
    </r>
  </si>
  <si>
    <t xml:space="preserve">Bit to Csg shoe </t>
  </si>
  <si>
    <t>DP &amp; Csg</t>
  </si>
  <si>
    <t>Annular capacity between:</t>
  </si>
  <si>
    <t>=</t>
  </si>
  <si>
    <r>
      <t>Annular capacity = (ID</t>
    </r>
    <r>
      <rPr>
        <vertAlign val="superscript"/>
        <sz val="9"/>
        <color theme="1"/>
        <rFont val="Calibri"/>
        <family val="2"/>
        <scheme val="minor"/>
      </rPr>
      <t>2</t>
    </r>
    <r>
      <rPr>
        <sz val="9"/>
        <color theme="1"/>
        <rFont val="Calibri"/>
        <family val="2"/>
        <scheme val="minor"/>
      </rPr>
      <t xml:space="preserve"> - OD</t>
    </r>
    <r>
      <rPr>
        <vertAlign val="superscript"/>
        <sz val="9"/>
        <color theme="1"/>
        <rFont val="Calibri"/>
        <family val="2"/>
        <scheme val="minor"/>
      </rPr>
      <t>2</t>
    </r>
    <r>
      <rPr>
        <sz val="9"/>
        <color theme="1"/>
        <rFont val="Calibri"/>
        <family val="2"/>
        <scheme val="minor"/>
      </rPr>
      <t>) ÷ 1029.4 = bbls/ft</t>
    </r>
  </si>
  <si>
    <t xml:space="preserve"> Shoe</t>
  </si>
  <si>
    <t xml:space="preserve">   bbls/stk</t>
  </si>
  <si>
    <t>bbls/stk</t>
  </si>
  <si>
    <t xml:space="preserve"> (Subsea only)</t>
  </si>
  <si>
    <t>Choke line vol.</t>
  </si>
  <si>
    <r>
      <t xml:space="preserve">               Petroleum College International Killsheet </t>
    </r>
    <r>
      <rPr>
        <sz val="14"/>
        <color theme="1"/>
        <rFont val="Calibri"/>
        <family val="2"/>
        <scheme val="minor"/>
      </rPr>
      <t xml:space="preserve">      </t>
    </r>
    <r>
      <rPr>
        <sz val="12"/>
        <color theme="1"/>
        <rFont val="Calibri"/>
        <family val="2"/>
        <charset val="134"/>
        <scheme val="minor"/>
      </rPr>
      <t>W &amp; W or Drillers Method</t>
    </r>
  </si>
  <si>
    <t xml:space="preserve">Total Strokes Surface to Surface </t>
  </si>
  <si>
    <t xml:space="preserve">                              Total Barrels in Drill String </t>
  </si>
  <si>
    <t xml:space="preserve">Total Strokes Surface to Bit </t>
  </si>
  <si>
    <r>
      <t xml:space="preserve">                      </t>
    </r>
    <r>
      <rPr>
        <b/>
        <sz val="10"/>
        <color theme="1"/>
        <rFont val="Calibri"/>
        <family val="2"/>
        <scheme val="minor"/>
      </rPr>
      <t xml:space="preserve">Total Stroke Bit to Surface  </t>
    </r>
  </si>
  <si>
    <t xml:space="preserve"> CLFP off casing </t>
  </si>
  <si>
    <t xml:space="preserve">Current mud </t>
  </si>
  <si>
    <t xml:space="preserve">     Total Barrels in Annulus   </t>
  </si>
  <si>
    <t xml:space="preserve">Stks surf to bit       </t>
  </si>
  <si>
    <t>Test mud</t>
  </si>
  <si>
    <t>Surface test</t>
  </si>
  <si>
    <t>String &amp; Annulus</t>
  </si>
  <si>
    <t xml:space="preserve">       Total Well Volume Drill String &amp; Annulus </t>
  </si>
  <si>
    <t xml:space="preserve">          =</t>
  </si>
  <si>
    <t>Slow circulating rate pressure (SCRP) = Kill rate pressure or</t>
  </si>
  <si>
    <t>Various names used: Current mud = Original or Present mud.</t>
  </si>
  <si>
    <t>slow pump pressure.           Slow pump rate = Kill rate speed.</t>
  </si>
  <si>
    <t xml:space="preserve">             =</t>
  </si>
  <si>
    <t xml:space="preserve">New Max. Allowable Annular     </t>
  </si>
  <si>
    <r>
      <rPr>
        <b/>
        <sz val="11"/>
        <color theme="1"/>
        <rFont val="Calibri"/>
        <family val="2"/>
        <scheme val="minor"/>
      </rPr>
      <t>÷</t>
    </r>
    <r>
      <rPr>
        <sz val="11"/>
        <color theme="1"/>
        <rFont val="Calibri"/>
        <family val="2"/>
        <scheme val="minor"/>
      </rPr>
      <t xml:space="preserve"> </t>
    </r>
    <r>
      <rPr>
        <sz val="10"/>
        <color theme="1"/>
        <rFont val="Calibri"/>
        <family val="2"/>
        <scheme val="minor"/>
      </rPr>
      <t xml:space="preserve"> Pump Output</t>
    </r>
  </si>
  <si>
    <r>
      <t xml:space="preserve">       bbls/ft      </t>
    </r>
    <r>
      <rPr>
        <sz val="11"/>
        <color theme="1"/>
        <rFont val="Calibri"/>
        <family val="2"/>
        <scheme val="minor"/>
      </rPr>
      <t xml:space="preserve">  X </t>
    </r>
    <r>
      <rPr>
        <sz val="10"/>
        <color theme="1"/>
        <rFont val="Calibri"/>
        <family val="2"/>
        <scheme val="minor"/>
      </rPr>
      <t xml:space="preserve"> length DP/Csg </t>
    </r>
    <r>
      <rPr>
        <sz val="9"/>
        <color theme="1"/>
        <rFont val="Calibri"/>
        <family val="2"/>
        <scheme val="minor"/>
      </rPr>
      <t xml:space="preserve"> </t>
    </r>
    <r>
      <rPr>
        <sz val="11"/>
        <color theme="1"/>
        <rFont val="Calibri"/>
        <family val="2"/>
        <scheme val="minor"/>
      </rPr>
      <t>=</t>
    </r>
    <r>
      <rPr>
        <sz val="10"/>
        <color theme="1"/>
        <rFont val="Calibri"/>
        <family val="2"/>
        <scheme val="minor"/>
      </rPr>
      <t xml:space="preserve">      Barrels </t>
    </r>
  </si>
  <si>
    <r>
      <t xml:space="preserve">       bbls/ft       </t>
    </r>
    <r>
      <rPr>
        <sz val="11"/>
        <color theme="1"/>
        <rFont val="Calibri"/>
        <family val="2"/>
        <scheme val="minor"/>
      </rPr>
      <t xml:space="preserve"> X</t>
    </r>
    <r>
      <rPr>
        <sz val="10"/>
        <color theme="1"/>
        <rFont val="Calibri"/>
        <family val="2"/>
        <scheme val="minor"/>
      </rPr>
      <t xml:space="preserve">  length DP/OH</t>
    </r>
    <r>
      <rPr>
        <sz val="9"/>
        <color theme="1"/>
        <rFont val="Calibri"/>
        <family val="2"/>
        <scheme val="minor"/>
      </rPr>
      <t xml:space="preserve">  </t>
    </r>
    <r>
      <rPr>
        <sz val="11"/>
        <color theme="1"/>
        <rFont val="Calibri"/>
        <family val="2"/>
        <scheme val="minor"/>
      </rPr>
      <t>=</t>
    </r>
    <r>
      <rPr>
        <sz val="10"/>
        <color theme="1"/>
        <rFont val="Calibri"/>
        <family val="2"/>
        <scheme val="minor"/>
      </rPr>
      <t xml:space="preserve">      Barrels</t>
    </r>
  </si>
  <si>
    <r>
      <t xml:space="preserve"> </t>
    </r>
    <r>
      <rPr>
        <sz val="12"/>
        <color theme="1"/>
        <rFont val="Calibri"/>
        <family val="2"/>
        <charset val="134"/>
        <scheme val="minor"/>
      </rPr>
      <t xml:space="preserve">      ICP to FCP Pressure Reduction Schedule Surface to Bit</t>
    </r>
  </si>
  <si>
    <r>
      <t xml:space="preserve">       bbls/ft        </t>
    </r>
    <r>
      <rPr>
        <sz val="11"/>
        <color theme="1"/>
        <rFont val="Calibri"/>
        <family val="2"/>
        <scheme val="minor"/>
      </rPr>
      <t xml:space="preserve">X </t>
    </r>
    <r>
      <rPr>
        <sz val="9"/>
        <color theme="1"/>
        <rFont val="Calibri"/>
        <family val="2"/>
        <scheme val="minor"/>
      </rPr>
      <t xml:space="preserve"> </t>
    </r>
    <r>
      <rPr>
        <sz val="10"/>
        <color theme="1"/>
        <rFont val="Calibri"/>
        <family val="2"/>
        <scheme val="minor"/>
      </rPr>
      <t xml:space="preserve">length DC/OH </t>
    </r>
    <r>
      <rPr>
        <sz val="11"/>
        <color theme="1"/>
        <rFont val="Calibri"/>
        <family val="2"/>
        <scheme val="minor"/>
      </rPr>
      <t xml:space="preserve"> = </t>
    </r>
    <r>
      <rPr>
        <sz val="10"/>
        <color theme="1"/>
        <rFont val="Calibri"/>
        <family val="2"/>
        <scheme val="minor"/>
      </rPr>
      <t xml:space="preserve">    Barrels</t>
    </r>
  </si>
  <si>
    <r>
      <t xml:space="preserve">       bbls/ft        </t>
    </r>
    <r>
      <rPr>
        <sz val="11"/>
        <color theme="1"/>
        <rFont val="Calibri"/>
        <family val="2"/>
        <scheme val="minor"/>
      </rPr>
      <t>X</t>
    </r>
    <r>
      <rPr>
        <sz val="10"/>
        <color theme="1"/>
        <rFont val="Calibri"/>
        <family val="2"/>
        <scheme val="minor"/>
      </rPr>
      <t xml:space="preserve"> </t>
    </r>
    <r>
      <rPr>
        <sz val="9"/>
        <color theme="1"/>
        <rFont val="Calibri"/>
        <family val="2"/>
        <scheme val="minor"/>
      </rPr>
      <t xml:space="preserve"> l</t>
    </r>
    <r>
      <rPr>
        <sz val="10"/>
        <color theme="1"/>
        <rFont val="Calibri"/>
        <family val="2"/>
        <scheme val="minor"/>
      </rPr>
      <t>ength MD</t>
    </r>
    <r>
      <rPr>
        <sz val="9"/>
        <color theme="1"/>
        <rFont val="Calibri"/>
        <family val="2"/>
        <scheme val="minor"/>
      </rPr>
      <t xml:space="preserve">        </t>
    </r>
    <r>
      <rPr>
        <sz val="11"/>
        <color theme="1"/>
        <rFont val="Calibri"/>
        <family val="2"/>
        <scheme val="minor"/>
      </rPr>
      <t xml:space="preserve">=     </t>
    </r>
    <r>
      <rPr>
        <sz val="10"/>
        <color theme="1"/>
        <rFont val="Calibri"/>
        <family val="2"/>
        <scheme val="minor"/>
      </rPr>
      <t>Barrels</t>
    </r>
  </si>
  <si>
    <r>
      <rPr>
        <sz val="10"/>
        <color theme="1"/>
        <rFont val="Calibri"/>
        <family val="2"/>
        <scheme val="minor"/>
      </rPr>
      <t xml:space="preserve">         SCRP         </t>
    </r>
    <r>
      <rPr>
        <sz val="11"/>
        <color theme="1"/>
        <rFont val="Calibri"/>
        <family val="2"/>
        <scheme val="minor"/>
      </rPr>
      <t>X</t>
    </r>
    <r>
      <rPr>
        <sz val="10"/>
        <color theme="1"/>
        <rFont val="Calibri"/>
        <family val="2"/>
        <scheme val="minor"/>
      </rPr>
      <t xml:space="preserve">          KWM      </t>
    </r>
    <r>
      <rPr>
        <sz val="11"/>
        <color theme="1"/>
        <rFont val="Calibri"/>
        <family val="2"/>
        <scheme val="minor"/>
      </rPr>
      <t xml:space="preserve">  ÷ </t>
    </r>
    <r>
      <rPr>
        <sz val="10"/>
        <color theme="1"/>
        <rFont val="Calibri"/>
        <family val="2"/>
        <scheme val="minor"/>
      </rPr>
      <t xml:space="preserve"> Current mud  </t>
    </r>
    <r>
      <rPr>
        <sz val="11"/>
        <color theme="1"/>
        <rFont val="Calibri"/>
        <family val="2"/>
        <scheme val="minor"/>
      </rPr>
      <t>=</t>
    </r>
    <r>
      <rPr>
        <sz val="10"/>
        <color theme="1"/>
        <rFont val="Calibri"/>
        <family val="2"/>
        <scheme val="minor"/>
      </rPr>
      <t xml:space="preserve">   FCP</t>
    </r>
    <r>
      <rPr>
        <sz val="9"/>
        <color theme="1"/>
        <rFont val="Calibri"/>
        <family val="2"/>
        <scheme val="minor"/>
      </rPr>
      <t xml:space="preserve">  </t>
    </r>
    <r>
      <rPr>
        <sz val="8"/>
        <color theme="1"/>
        <rFont val="Calibri"/>
        <family val="2"/>
        <scheme val="minor"/>
      </rPr>
      <t>(Final Circulating Pressure)</t>
    </r>
  </si>
  <si>
    <r>
      <t xml:space="preserve">pressure </t>
    </r>
    <r>
      <rPr>
        <sz val="8"/>
        <color theme="1"/>
        <rFont val="Calibri"/>
        <family val="2"/>
        <scheme val="minor"/>
      </rPr>
      <t>FIT/LOT</t>
    </r>
  </si>
  <si>
    <t>Pump Info</t>
  </si>
  <si>
    <t xml:space="preserve">        Output              bbls/ stks      </t>
  </si>
  <si>
    <t>Name:</t>
  </si>
  <si>
    <t>Well Name:</t>
  </si>
  <si>
    <r>
      <rPr>
        <b/>
        <sz val="10"/>
        <color theme="1"/>
        <rFont val="Calibri"/>
        <family val="2"/>
        <scheme val="minor"/>
      </rPr>
      <t xml:space="preserve">Surface Pressure MAASP:   </t>
    </r>
    <r>
      <rPr>
        <sz val="10"/>
        <color theme="1"/>
        <rFont val="Calibri"/>
        <family val="2"/>
        <scheme val="minor"/>
      </rPr>
      <t xml:space="preserve">              (MAMW     </t>
    </r>
    <r>
      <rPr>
        <sz val="12"/>
        <color theme="1"/>
        <rFont val="Calibri"/>
        <family val="2"/>
        <charset val="134"/>
        <scheme val="minor"/>
      </rPr>
      <t xml:space="preserve">  -</t>
    </r>
    <r>
      <rPr>
        <sz val="10"/>
        <color theme="1"/>
        <rFont val="Calibri"/>
        <family val="2"/>
        <scheme val="minor"/>
      </rPr>
      <t xml:space="preserve"> Current mud)  </t>
    </r>
    <r>
      <rPr>
        <sz val="11"/>
        <color theme="1"/>
        <rFont val="Calibri"/>
        <family val="2"/>
        <scheme val="minor"/>
      </rPr>
      <t>X</t>
    </r>
    <r>
      <rPr>
        <sz val="10"/>
        <color theme="1"/>
        <rFont val="Calibri"/>
        <family val="2"/>
        <scheme val="minor"/>
      </rPr>
      <t xml:space="preserve">   </t>
    </r>
    <r>
      <rPr>
        <sz val="3"/>
        <color theme="1"/>
        <rFont val="Calibri"/>
        <family val="2"/>
        <scheme val="minor"/>
      </rPr>
      <t xml:space="preserve"> </t>
    </r>
    <r>
      <rPr>
        <sz val="10"/>
        <color theme="1"/>
        <rFont val="Calibri"/>
        <family val="2"/>
        <scheme val="minor"/>
      </rPr>
      <t xml:space="preserve">  </t>
    </r>
    <r>
      <rPr>
        <sz val="11"/>
        <color theme="1"/>
        <rFont val="Calibri"/>
        <family val="2"/>
        <scheme val="minor"/>
      </rPr>
      <t xml:space="preserve"> 0.052</t>
    </r>
    <r>
      <rPr>
        <sz val="10"/>
        <color theme="1"/>
        <rFont val="Calibri"/>
        <family val="2"/>
        <scheme val="minor"/>
      </rPr>
      <t xml:space="preserve">     </t>
    </r>
    <r>
      <rPr>
        <sz val="11"/>
        <color theme="1"/>
        <rFont val="Calibri"/>
        <family val="2"/>
        <scheme val="minor"/>
      </rPr>
      <t xml:space="preserve">   X</t>
    </r>
    <r>
      <rPr>
        <sz val="10"/>
        <color theme="1"/>
        <rFont val="Calibri"/>
        <family val="2"/>
        <scheme val="minor"/>
      </rPr>
      <t xml:space="preserve">  CSG shoe </t>
    </r>
    <r>
      <rPr>
        <sz val="8"/>
        <color theme="1"/>
        <rFont val="Calibri"/>
        <family val="2"/>
        <scheme val="minor"/>
      </rPr>
      <t>TVD</t>
    </r>
    <r>
      <rPr>
        <sz val="11"/>
        <color theme="1"/>
        <rFont val="Calibri"/>
        <family val="2"/>
        <scheme val="minor"/>
      </rPr>
      <t xml:space="preserve"> =  </t>
    </r>
    <r>
      <rPr>
        <sz val="10"/>
        <color theme="1"/>
        <rFont val="Calibri"/>
        <family val="2"/>
        <scheme val="minor"/>
      </rPr>
      <t xml:space="preserve">  MAASP</t>
    </r>
  </si>
  <si>
    <t xml:space="preserve"> on line to SCR.</t>
  </si>
  <si>
    <t xml:space="preserve">DP calculated </t>
  </si>
  <si>
    <t xml:space="preserve">   </t>
  </si>
  <si>
    <t>Well Information</t>
  </si>
  <si>
    <t>HWDP capacity</t>
  </si>
  <si>
    <t>HWDP &amp; OH</t>
  </si>
  <si>
    <t xml:space="preserve">=   Volume </t>
  </si>
  <si>
    <t>Strokes bit to casing shoe</t>
  </si>
  <si>
    <t xml:space="preserve">   HWDP &amp; OH         </t>
  </si>
  <si>
    <r>
      <t xml:space="preserve">       bbls/ft        </t>
    </r>
    <r>
      <rPr>
        <sz val="11"/>
        <color theme="1"/>
        <rFont val="Calibri"/>
        <family val="2"/>
        <scheme val="minor"/>
      </rPr>
      <t>X</t>
    </r>
    <r>
      <rPr>
        <sz val="10"/>
        <color theme="1"/>
        <rFont val="Calibri"/>
        <family val="2"/>
        <scheme val="minor"/>
      </rPr>
      <t xml:space="preserve">    length MD  </t>
    </r>
    <r>
      <rPr>
        <sz val="11"/>
        <color theme="1"/>
        <rFont val="Calibri"/>
        <family val="2"/>
        <scheme val="minor"/>
      </rPr>
      <t xml:space="preserve">=  </t>
    </r>
    <r>
      <rPr>
        <sz val="10"/>
        <color theme="1"/>
        <rFont val="Calibri"/>
        <family val="2"/>
        <scheme val="minor"/>
      </rPr>
      <t>Barrels /HWDP</t>
    </r>
  </si>
  <si>
    <r>
      <t xml:space="preserve">bbls between   </t>
    </r>
    <r>
      <rPr>
        <sz val="11"/>
        <color theme="1"/>
        <rFont val="Calibri"/>
        <family val="2"/>
        <scheme val="minor"/>
      </rPr>
      <t xml:space="preserve">+  </t>
    </r>
    <r>
      <rPr>
        <sz val="10"/>
        <color theme="1"/>
        <rFont val="Calibri"/>
        <family val="2"/>
        <scheme val="minor"/>
      </rPr>
      <t xml:space="preserve">bbls between  </t>
    </r>
    <r>
      <rPr>
        <sz val="11"/>
        <color theme="1"/>
        <rFont val="Calibri"/>
        <family val="2"/>
        <scheme val="minor"/>
      </rPr>
      <t xml:space="preserve">+  </t>
    </r>
    <r>
      <rPr>
        <sz val="10"/>
        <color theme="1"/>
        <rFont val="Calibri"/>
        <family val="2"/>
        <scheme val="minor"/>
      </rPr>
      <t>bbls between</t>
    </r>
  </si>
  <si>
    <r>
      <t xml:space="preserve">       bbls/ft        </t>
    </r>
    <r>
      <rPr>
        <sz val="11"/>
        <color theme="1"/>
        <rFont val="Calibri"/>
        <family val="2"/>
        <scheme val="minor"/>
      </rPr>
      <t>X</t>
    </r>
    <r>
      <rPr>
        <sz val="10"/>
        <color theme="1"/>
        <rFont val="Calibri"/>
        <family val="2"/>
        <scheme val="minor"/>
      </rPr>
      <t xml:space="preserve">    length MD  </t>
    </r>
    <r>
      <rPr>
        <sz val="11"/>
        <color theme="1"/>
        <rFont val="Calibri"/>
        <family val="2"/>
        <scheme val="minor"/>
      </rPr>
      <t>=</t>
    </r>
    <r>
      <rPr>
        <sz val="10"/>
        <color theme="1"/>
        <rFont val="Calibri"/>
        <family val="2"/>
        <scheme val="minor"/>
      </rPr>
      <t xml:space="preserve">  Barrels in DP</t>
    </r>
  </si>
  <si>
    <r>
      <t xml:space="preserve">       bbls/ft        </t>
    </r>
    <r>
      <rPr>
        <sz val="11"/>
        <color theme="1"/>
        <rFont val="Calibri"/>
        <family val="2"/>
        <scheme val="minor"/>
      </rPr>
      <t>X</t>
    </r>
    <r>
      <rPr>
        <sz val="10"/>
        <color theme="1"/>
        <rFont val="Calibri"/>
        <family val="2"/>
        <scheme val="minor"/>
      </rPr>
      <t xml:space="preserve">    length MD </t>
    </r>
    <r>
      <rPr>
        <sz val="11"/>
        <color theme="1"/>
        <rFont val="Calibri"/>
        <family val="2"/>
        <scheme val="minor"/>
      </rPr>
      <t xml:space="preserve"> =  </t>
    </r>
    <r>
      <rPr>
        <sz val="10"/>
        <color theme="1"/>
        <rFont val="Calibri"/>
        <family val="2"/>
        <scheme val="minor"/>
      </rPr>
      <t>Barrels in DC</t>
    </r>
  </si>
  <si>
    <t xml:space="preserve">Surface line volume barrels                                   = </t>
  </si>
  <si>
    <t xml:space="preserve">     Volume        ÷  Pump output  =       Strokes</t>
  </si>
  <si>
    <r>
      <t xml:space="preserve">       (SIDPP        </t>
    </r>
    <r>
      <rPr>
        <sz val="11"/>
        <color theme="1"/>
        <rFont val="Calibri"/>
        <family val="2"/>
        <scheme val="minor"/>
      </rPr>
      <t>÷</t>
    </r>
    <r>
      <rPr>
        <sz val="12"/>
        <color theme="1"/>
        <rFont val="Calibri"/>
        <family val="2"/>
        <charset val="134"/>
        <scheme val="minor"/>
      </rPr>
      <t xml:space="preserve"> </t>
    </r>
    <r>
      <rPr>
        <sz val="10"/>
        <color theme="1"/>
        <rFont val="Calibri"/>
        <family val="2"/>
        <scheme val="minor"/>
      </rPr>
      <t xml:space="preserve">       0.052       </t>
    </r>
    <r>
      <rPr>
        <sz val="11"/>
        <color theme="1"/>
        <rFont val="Calibri"/>
        <family val="2"/>
        <scheme val="minor"/>
      </rPr>
      <t>÷</t>
    </r>
    <r>
      <rPr>
        <sz val="10"/>
        <color theme="1"/>
        <rFont val="Calibri"/>
        <family val="2"/>
        <scheme val="minor"/>
      </rPr>
      <t xml:space="preserve"> Well depth </t>
    </r>
    <r>
      <rPr>
        <sz val="8"/>
        <color theme="1"/>
        <rFont val="Calibri"/>
        <family val="2"/>
        <scheme val="minor"/>
      </rPr>
      <t>TVD</t>
    </r>
    <r>
      <rPr>
        <sz val="10"/>
        <color theme="1"/>
        <rFont val="Calibri"/>
        <family val="2"/>
        <scheme val="minor"/>
      </rPr>
      <t xml:space="preserve">) </t>
    </r>
    <r>
      <rPr>
        <sz val="11"/>
        <color theme="1"/>
        <rFont val="Calibri"/>
        <family val="2"/>
        <scheme val="minor"/>
      </rPr>
      <t>+</t>
    </r>
    <r>
      <rPr>
        <sz val="10"/>
        <color theme="1"/>
        <rFont val="Calibri"/>
        <family val="2"/>
        <scheme val="minor"/>
      </rPr>
      <t xml:space="preserve"> Current mud </t>
    </r>
    <r>
      <rPr>
        <b/>
        <sz val="11"/>
        <color theme="1"/>
        <rFont val="Calibri"/>
        <family val="2"/>
        <scheme val="minor"/>
      </rPr>
      <t>=</t>
    </r>
    <r>
      <rPr>
        <sz val="11"/>
        <color theme="1"/>
        <rFont val="Calibri"/>
        <family val="2"/>
        <scheme val="minor"/>
      </rPr>
      <t xml:space="preserve"> </t>
    </r>
    <r>
      <rPr>
        <sz val="10"/>
        <color theme="1"/>
        <rFont val="Calibri"/>
        <family val="2"/>
        <scheme val="minor"/>
      </rPr>
      <t xml:space="preserve">   KWM </t>
    </r>
  </si>
  <si>
    <r>
      <t xml:space="preserve">         SIDPP       </t>
    </r>
    <r>
      <rPr>
        <sz val="11"/>
        <color theme="1"/>
        <rFont val="Calibri"/>
        <family val="2"/>
        <scheme val="minor"/>
      </rPr>
      <t xml:space="preserve"> +</t>
    </r>
    <r>
      <rPr>
        <sz val="10"/>
        <color theme="1"/>
        <rFont val="Calibri"/>
        <family val="2"/>
        <scheme val="minor"/>
      </rPr>
      <t xml:space="preserve">          SCRP        </t>
    </r>
    <r>
      <rPr>
        <sz val="6"/>
        <color theme="1"/>
        <rFont val="Calibri"/>
        <family val="2"/>
        <scheme val="minor"/>
      </rPr>
      <t xml:space="preserve"> </t>
    </r>
    <r>
      <rPr>
        <sz val="10"/>
        <color theme="1"/>
        <rFont val="Calibri"/>
        <family val="2"/>
        <scheme val="minor"/>
      </rPr>
      <t xml:space="preserve">  </t>
    </r>
    <r>
      <rPr>
        <sz val="4"/>
        <color theme="1"/>
        <rFont val="Calibri"/>
        <family val="2"/>
        <scheme val="minor"/>
      </rPr>
      <t xml:space="preserve">    </t>
    </r>
    <r>
      <rPr>
        <sz val="10"/>
        <color theme="1"/>
        <rFont val="Calibri"/>
        <family val="2"/>
        <scheme val="minor"/>
      </rPr>
      <t xml:space="preserve">       </t>
    </r>
    <r>
      <rPr>
        <sz val="11"/>
        <color theme="1"/>
        <rFont val="Calibri"/>
        <family val="2"/>
        <scheme val="minor"/>
      </rPr>
      <t xml:space="preserve"> = </t>
    </r>
    <r>
      <rPr>
        <sz val="10"/>
        <color theme="1"/>
        <rFont val="Calibri"/>
        <family val="2"/>
        <scheme val="minor"/>
      </rPr>
      <t xml:space="preserve">                   ICP  </t>
    </r>
    <r>
      <rPr>
        <sz val="8"/>
        <color theme="1"/>
        <rFont val="Calibri"/>
        <family val="2"/>
        <scheme val="minor"/>
      </rPr>
      <t>(Initial Circulating Pressure)</t>
    </r>
  </si>
  <si>
    <r>
      <t xml:space="preserve">MAMW: </t>
    </r>
    <r>
      <rPr>
        <sz val="10"/>
        <color theme="1"/>
        <rFont val="Calibri"/>
        <family val="2"/>
        <scheme val="minor"/>
      </rPr>
      <t xml:space="preserve">   LOT/FIT           (Surface test pressure </t>
    </r>
    <r>
      <rPr>
        <sz val="11"/>
        <color theme="1"/>
        <rFont val="Calibri"/>
        <family val="2"/>
        <scheme val="minor"/>
      </rPr>
      <t xml:space="preserve"> ÷   </t>
    </r>
    <r>
      <rPr>
        <sz val="10"/>
        <color theme="1"/>
        <rFont val="Calibri"/>
        <family val="2"/>
        <scheme val="minor"/>
      </rPr>
      <t xml:space="preserve">  </t>
    </r>
    <r>
      <rPr>
        <sz val="11"/>
        <color theme="1"/>
        <rFont val="Calibri"/>
        <family val="2"/>
        <scheme val="minor"/>
      </rPr>
      <t xml:space="preserve"> 0.052</t>
    </r>
    <r>
      <rPr>
        <sz val="10"/>
        <color theme="1"/>
        <rFont val="Calibri"/>
        <family val="2"/>
        <scheme val="minor"/>
      </rPr>
      <t xml:space="preserve">    </t>
    </r>
    <r>
      <rPr>
        <sz val="12"/>
        <color theme="1"/>
        <rFont val="Calibri"/>
        <family val="2"/>
        <charset val="134"/>
        <scheme val="minor"/>
      </rPr>
      <t xml:space="preserve"> </t>
    </r>
    <r>
      <rPr>
        <sz val="6"/>
        <color theme="1"/>
        <rFont val="Calibri"/>
        <family val="2"/>
        <scheme val="minor"/>
      </rPr>
      <t xml:space="preserve">  </t>
    </r>
    <r>
      <rPr>
        <sz val="11"/>
        <color theme="1"/>
        <rFont val="Calibri"/>
        <family val="2"/>
        <scheme val="minor"/>
      </rPr>
      <t xml:space="preserve"> ÷  </t>
    </r>
    <r>
      <rPr>
        <sz val="10"/>
        <color theme="1"/>
        <rFont val="Calibri"/>
        <family val="2"/>
        <scheme val="minor"/>
      </rPr>
      <t xml:space="preserve">Csg shoe </t>
    </r>
    <r>
      <rPr>
        <sz val="8"/>
        <color theme="1"/>
        <rFont val="Calibri"/>
        <family val="2"/>
        <scheme val="minor"/>
      </rPr>
      <t xml:space="preserve">TVD </t>
    </r>
    <r>
      <rPr>
        <sz val="10"/>
        <color theme="1"/>
        <rFont val="Calibri"/>
        <family val="2"/>
        <scheme val="minor"/>
      </rPr>
      <t xml:space="preserve">) </t>
    </r>
    <r>
      <rPr>
        <sz val="11"/>
        <color theme="1"/>
        <rFont val="Calibri"/>
        <family val="2"/>
        <scheme val="minor"/>
      </rPr>
      <t xml:space="preserve">+ </t>
    </r>
    <r>
      <rPr>
        <sz val="10"/>
        <color theme="1"/>
        <rFont val="Calibri"/>
        <family val="2"/>
        <scheme val="minor"/>
      </rPr>
      <t xml:space="preserve">    Test mud   </t>
    </r>
    <r>
      <rPr>
        <sz val="11"/>
        <color theme="1"/>
        <rFont val="Calibri"/>
        <family val="2"/>
        <scheme val="minor"/>
      </rPr>
      <t xml:space="preserve"> =   </t>
    </r>
    <r>
      <rPr>
        <sz val="10"/>
        <color theme="1"/>
        <rFont val="Calibri"/>
        <family val="2"/>
        <scheme val="minor"/>
      </rPr>
      <t xml:space="preserve"> MAMW</t>
    </r>
  </si>
  <si>
    <r>
      <rPr>
        <b/>
        <sz val="11"/>
        <color theme="1"/>
        <rFont val="Calibri"/>
        <family val="2"/>
        <scheme val="minor"/>
      </rPr>
      <t>÷</t>
    </r>
    <r>
      <rPr>
        <sz val="11"/>
        <color theme="1"/>
        <rFont val="Calibri"/>
        <family val="2"/>
        <scheme val="minor"/>
      </rPr>
      <t xml:space="preserve"> </t>
    </r>
    <r>
      <rPr>
        <sz val="10"/>
        <color theme="1"/>
        <rFont val="Calibri"/>
        <family val="2"/>
        <scheme val="minor"/>
      </rPr>
      <t xml:space="preserve"> Pump output</t>
    </r>
  </si>
  <si>
    <r>
      <t>Surface Pressure after Kill:               (</t>
    </r>
    <r>
      <rPr>
        <sz val="10"/>
        <color theme="1"/>
        <rFont val="Calibri"/>
        <family val="2"/>
        <scheme val="minor"/>
      </rPr>
      <t xml:space="preserve">MAMW     </t>
    </r>
    <r>
      <rPr>
        <sz val="12"/>
        <color theme="1"/>
        <rFont val="Calibri"/>
        <family val="2"/>
        <charset val="134"/>
        <scheme val="minor"/>
      </rPr>
      <t xml:space="preserve">  -     </t>
    </r>
    <r>
      <rPr>
        <sz val="10"/>
        <color theme="1"/>
        <rFont val="Calibri"/>
        <family val="2"/>
        <scheme val="minor"/>
      </rPr>
      <t xml:space="preserve">  KWM)      </t>
    </r>
    <r>
      <rPr>
        <sz val="11"/>
        <color theme="1"/>
        <rFont val="Calibri"/>
        <family val="2"/>
        <scheme val="minor"/>
      </rPr>
      <t xml:space="preserve">  X  </t>
    </r>
    <r>
      <rPr>
        <sz val="10"/>
        <color theme="1"/>
        <rFont val="Calibri"/>
        <family val="2"/>
        <scheme val="minor"/>
      </rPr>
      <t xml:space="preserve">     </t>
    </r>
    <r>
      <rPr>
        <sz val="11"/>
        <color theme="1"/>
        <rFont val="Calibri"/>
        <family val="2"/>
        <scheme val="minor"/>
      </rPr>
      <t>0.052</t>
    </r>
    <r>
      <rPr>
        <sz val="10"/>
        <color theme="1"/>
        <rFont val="Calibri"/>
        <family val="2"/>
        <scheme val="minor"/>
      </rPr>
      <t xml:space="preserve">        </t>
    </r>
    <r>
      <rPr>
        <sz val="11"/>
        <color theme="1"/>
        <rFont val="Calibri"/>
        <family val="2"/>
        <scheme val="minor"/>
      </rPr>
      <t>X</t>
    </r>
    <r>
      <rPr>
        <sz val="10"/>
        <color theme="1"/>
        <rFont val="Calibri"/>
        <family val="2"/>
        <scheme val="minor"/>
      </rPr>
      <t xml:space="preserve">  CSG shoe </t>
    </r>
    <r>
      <rPr>
        <sz val="8"/>
        <color theme="1"/>
        <rFont val="Calibri"/>
        <family val="2"/>
        <scheme val="minor"/>
      </rPr>
      <t>TVD</t>
    </r>
    <r>
      <rPr>
        <sz val="10"/>
        <color theme="1"/>
        <rFont val="Calibri"/>
        <family val="2"/>
        <scheme val="minor"/>
      </rPr>
      <t xml:space="preserve"> </t>
    </r>
    <r>
      <rPr>
        <sz val="11"/>
        <color theme="1"/>
        <rFont val="Calibri"/>
        <family val="2"/>
        <scheme val="minor"/>
      </rPr>
      <t xml:space="preserve">=  </t>
    </r>
    <r>
      <rPr>
        <sz val="10"/>
        <color theme="1"/>
        <rFont val="Calibri"/>
        <family val="2"/>
        <scheme val="minor"/>
      </rPr>
      <t xml:space="preserve"> New  MAASP Kill Fluid</t>
    </r>
  </si>
  <si>
    <r>
      <t xml:space="preserve">Pump schedule:             Strokes to bit  </t>
    </r>
    <r>
      <rPr>
        <sz val="11"/>
        <color theme="1"/>
        <rFont val="Calibri"/>
        <family val="2"/>
        <scheme val="minor"/>
      </rPr>
      <t>÷</t>
    </r>
    <r>
      <rPr>
        <sz val="10"/>
        <color theme="1"/>
        <rFont val="Calibri"/>
        <family val="2"/>
        <scheme val="minor"/>
      </rPr>
      <t xml:space="preserve">  10  </t>
    </r>
    <r>
      <rPr>
        <sz val="11"/>
        <color theme="1"/>
        <rFont val="Calibri"/>
        <family val="2"/>
        <scheme val="minor"/>
      </rPr>
      <t>=</t>
    </r>
    <r>
      <rPr>
        <sz val="10"/>
        <color theme="1"/>
        <rFont val="Calibri"/>
        <family val="2"/>
        <scheme val="minor"/>
      </rPr>
      <t xml:space="preserve">  Strokes increase per step            ( ICP</t>
    </r>
    <r>
      <rPr>
        <sz val="12"/>
        <color theme="1"/>
        <rFont val="Calibri"/>
        <family val="2"/>
        <charset val="134"/>
        <scheme val="minor"/>
      </rPr>
      <t xml:space="preserve"> -</t>
    </r>
    <r>
      <rPr>
        <sz val="10"/>
        <color theme="1"/>
        <rFont val="Calibri"/>
        <family val="2"/>
        <scheme val="minor"/>
      </rPr>
      <t xml:space="preserve"> FCP)  </t>
    </r>
    <r>
      <rPr>
        <sz val="11"/>
        <color theme="1"/>
        <rFont val="Calibri"/>
        <family val="2"/>
        <scheme val="minor"/>
      </rPr>
      <t xml:space="preserve">÷ </t>
    </r>
    <r>
      <rPr>
        <sz val="10"/>
        <color theme="1"/>
        <rFont val="Calibri"/>
        <family val="2"/>
        <scheme val="minor"/>
      </rPr>
      <t xml:space="preserve">10  </t>
    </r>
    <r>
      <rPr>
        <sz val="11"/>
        <color theme="1"/>
        <rFont val="Calibri"/>
        <family val="2"/>
        <scheme val="minor"/>
      </rPr>
      <t xml:space="preserve">=  </t>
    </r>
    <r>
      <rPr>
        <sz val="10"/>
        <color theme="1"/>
        <rFont val="Calibri"/>
        <family val="2"/>
        <scheme val="minor"/>
      </rPr>
      <t>Pressure reduction per step</t>
    </r>
  </si>
  <si>
    <t>Compatibility Report for Automated_Killsheet W&amp;W.xlsm</t>
  </si>
  <si>
    <t>Run on 10/27/2016 12:04</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</si>
  <si>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</si>
  <si>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</si>
  <si>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</si>
  <si>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</si>
  <si>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</si>
  <si>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</si>
  <si>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r>
      <t xml:space="preserve">     stks/min                SCRP </t>
    </r>
    <r>
      <rPr>
        <sz val="8"/>
        <color theme="1"/>
        <rFont val="Calibri"/>
        <family val="2"/>
        <scheme val="minor"/>
      </rPr>
      <t>psi</t>
    </r>
  </si>
  <si>
    <t xml:space="preserve">                 </t>
  </si>
  <si>
    <r>
      <t xml:space="preserve">                 </t>
    </r>
    <r>
      <rPr>
        <sz val="6"/>
        <color theme="1"/>
        <rFont val="Calibri"/>
        <family val="2"/>
        <scheme val="minor"/>
      </rPr>
      <t xml:space="preserve"> </t>
    </r>
  </si>
  <si>
    <t xml:space="preserve">                         bbls</t>
  </si>
  <si>
    <t>Calculation table for Pressure Decline Schedule: Do not modify!  FK</t>
  </si>
  <si>
    <t>Rounding formula for KWM (if there is value greater than .X0, then must round up by + .1) FK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</si>
</sst>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
    <numFmt numFmtId="165" formatCode="0.0"/>
  </numFmts>
  <fonts count="29">
    <font>
      <sz val="12"/>
      <color theme="1"/>
      <name val="Calibri"/>
      <family val="2"/>
      <charset val="134"/>
      <scheme val="minor"/>
    </font>
    <font>
      <sz val="11"/>
      <color theme="1"/>
      <name val="Calibri"/>
      <family val="2"/>
      <scheme val="minor"/>
    </font>
    <font>
      <sz val="11"/>
      <color theme="1"/>
      <name val="Calibri"/>
      <family val="2"/>
      <scheme val="minor"/>
    </font>
    <font>
      <sz val="18"/>
      <color theme="1"/>
      <name val="Calibri"/>
      <family val="2"/>
      <scheme val="minor"/>
    </font>
    <font>
      <b/>
      <sz val="10"/>
      <color theme="1"/>
      <name val="Calibri"/>
      <family val="2"/>
      <scheme val="minor"/>
    </font>
    <font>
      <sz val="10"/>
      <color theme="1"/>
      <name val="Calibri"/>
      <family val="2"/>
      <scheme val="minor"/>
    </font>
    <font>
      <sz val="9"/>
      <color theme="1"/>
      <name val="Calibri"/>
      <family val="2"/>
      <scheme val="minor"/>
    </font>
    <font>
      <sz val="9"/>
      <color theme="1"/>
      <name val="Calibri (Body)"/>
    </font>
    <font>
      <b/>
      <sz val="9"/>
      <color theme="1"/>
      <name val="Calibri"/>
      <family val="2"/>
      <scheme val="minor"/>
    </font>
    <font>
      <u/>
      <sz val="10"/>
      <color theme="1"/>
      <name val="Calibri"/>
      <family val="2"/>
      <scheme val="minor"/>
    </font>
    <font>
      <b/>
      <sz val="11"/>
      <color theme="1"/>
      <name val="Calibri"/>
      <family val="2"/>
      <scheme val="minor"/>
    </font>
    <font>
      <sz val="10"/>
      <color rgb="FFFF0000"/>
      <name val="Calibri"/>
      <family val="2"/>
      <scheme val="minor"/>
    </font>
    <font>
      <sz val="8"/>
      <name val="Calibri"/>
      <family val="2"/>
      <scheme val="minor"/>
    </font>
    <font>
      <sz val="14"/>
      <color theme="1"/>
      <name val="Calibri"/>
      <family val="2"/>
      <scheme val="minor"/>
    </font>
    <font>
      <sz val="8"/>
      <color theme="1"/>
      <name val="Calibri"/>
      <family val="2"/>
      <scheme val="minor"/>
    </font>
    <font>
      <sz val="6"/>
      <color theme="1"/>
      <name val="Calibri"/>
      <family val="2"/>
      <scheme val="minor"/>
    </font>
    <font>
      <vertAlign val="superscript"/>
      <sz val="9"/>
      <color theme="1"/>
      <name val="Calibri"/>
      <family val="2"/>
      <scheme val="minor"/>
    </font>
    <font>
      <sz val="4"/>
      <color theme="1"/>
      <name val="Calibri"/>
      <family val="2"/>
      <scheme val="minor"/>
    </font>
    <font>
      <sz val="12"/>
      <color rgb="FFFF0000"/>
      <name val="Calibri"/>
      <family val="2"/>
      <scheme val="minor"/>
    </font>
    <font>
      <sz val="3"/>
      <color theme="1"/>
      <name val="Calibri"/>
      <family val="2"/>
      <scheme val="minor"/>
    </font>
    <font>
      <u/>
      <sz val="12"/>
      <color theme="10"/>
      <name val="Calibri"/>
      <family val="2"/>
      <scheme val="minor"/>
    </font>
    <font>
      <u/>
      <sz val="12"/>
      <color theme="11"/>
      <name val="Calibri"/>
      <family val="2"/>
      <scheme val="minor"/>
    </font>
    <font>
      <sz val="10"/>
      <color theme="9" tint="0.59999389629810485"/>
      <name val="Calibri"/>
      <family val="2"/>
      <scheme val="minor"/>
    </font>
    <font>
      <sz val="12"/>
      <name val="Calibri"/>
      <family val="2"/>
      <scheme val="minor"/>
    </font>
    <font>
      <sz val="12"/>
      <color theme="7" tint="-0.499984740745262"/>
      <name val="Calibri"/>
      <family val="2"/>
      <scheme val="minor"/>
    </font>
    <font>
      <b/>
      <sz val="10"/>
      <color theme="1"/>
      <name val="Calibri (Body)"/>
    </font>
    <font>
      <sz val="9"/>
      <color theme="1"/>
      <name val="Calibri"/>
      <family val="2"/>
      <charset val="134"/>
      <scheme val="minor"/>
    </font>
    <font>
      <sz val="8"/>
      <color theme="1"/>
      <name val="Calibri"/>
      <family val="2"/>
      <charset val="134"/>
      <scheme val="minor"/>
    </font>
    <font>
      <b/>
      <sz val="12"/>
      <color theme="1"/>
      <name val="Calibri"/>
      <family val="2"/>
      <charset val="134"/>
      <scheme val="minor"/>
    </font>
  </fonts>
  <fills count="15">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2"/>
        <bgColor auto="1"/>
      </patternFill>
    </fill>
    <fill>
      <patternFill patternType="solid">
        <fgColor rgb="FFFFA19C"/>
        <bgColor indexed="64"/>
      </patternFill>
    </fill>
    <fill>
      <patternFill patternType="solid">
        <fgColor rgb="FFFFF2CC"/>
        <bgColor indexed="64"/>
      </patternFill>
    </fill>
    <fill>
      <patternFill patternType="solid">
        <fgColor rgb="FFFCE4D6"/>
        <bgColor indexed="64"/>
      </patternFill>
    </fill>
    <fill>
      <patternFill patternType="solid">
        <fgColor rgb="FFB9D5FF"/>
        <bgColor indexed="64"/>
      </patternFill>
    </fill>
    <fill>
      <patternFill patternType="solid">
        <fgColor rgb="FFFFFF00"/>
        <bgColor indexed="64"/>
      </patternFill>
    </fill>
    <fill>
      <patternFill patternType="solid">
        <fgColor rgb="FFFFFF9B"/>
        <bgColor indexed="64"/>
      </patternFill>
    </fill>
    <fill>
      <patternFill patternType="solid">
        <fgColor rgb="FFFFFFAF"/>
        <bgColor indexed="64"/>
      </patternFill>
    </fill>
    <fill>
      <patternFill patternType="solid">
        <fgColor rgb="FFFFFFA7"/>
        <bgColor indexed="64"/>
      </patternFill>
    </fill>
    <fill>
      <patternFill patternType="solid">
        <fgColor rgb="FFFFFFB3"/>
        <bgColor indexed="64"/>
      </patternFill>
    </fill>
  </fills>
  <borders count="63">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medium">
        <color theme="5" tint="-0.499984740745262"/>
      </bottom>
      <diagonal/>
    </border>
    <border>
      <left/>
      <right/>
      <top style="thin">
        <color auto="1"/>
      </top>
      <bottom style="medium">
        <color theme="5" tint="-0.499984740745262"/>
      </bottom>
      <diagonal/>
    </border>
    <border>
      <left/>
      <right/>
      <top style="medium">
        <color theme="5" tint="-0.499984740745262"/>
      </top>
      <bottom style="medium">
        <color theme="5" tint="-0.499984740745262"/>
      </bottom>
      <diagonal/>
    </border>
    <border>
      <left style="thick">
        <color rgb="FFC00000"/>
      </left>
      <right/>
      <top style="medium">
        <color theme="5" tint="-0.499984740745262"/>
      </top>
      <bottom style="medium">
        <color theme="5" tint="-0.499984740745262"/>
      </bottom>
      <diagonal/>
    </border>
    <border>
      <left/>
      <right style="thin">
        <color auto="1"/>
      </right>
      <top/>
      <bottom/>
      <diagonal/>
    </border>
    <border>
      <left style="thin">
        <color rgb="FF800000"/>
      </left>
      <right/>
      <top style="thin">
        <color auto="1"/>
      </top>
      <bottom style="thin">
        <color auto="1"/>
      </bottom>
      <diagonal/>
    </border>
    <border>
      <left/>
      <right style="thin">
        <color rgb="FF800000"/>
      </right>
      <top style="thin">
        <color auto="1"/>
      </top>
      <bottom style="thin">
        <color auto="1"/>
      </bottom>
      <diagonal/>
    </border>
    <border>
      <left style="thin">
        <color rgb="FF800000"/>
      </left>
      <right/>
      <top style="thin">
        <color auto="1"/>
      </top>
      <bottom/>
      <diagonal/>
    </border>
    <border>
      <left style="thin">
        <color auto="1"/>
      </left>
      <right style="thin">
        <color rgb="FF800000"/>
      </right>
      <top style="thin">
        <color auto="1"/>
      </top>
      <bottom style="thin">
        <color auto="1"/>
      </bottom>
      <diagonal/>
    </border>
    <border>
      <left style="thin">
        <color rgb="FF800000"/>
      </left>
      <right/>
      <top/>
      <bottom style="thin">
        <color auto="1"/>
      </bottom>
      <diagonal/>
    </border>
    <border>
      <left style="thin">
        <color rgb="FF800000"/>
      </left>
      <right style="thin">
        <color auto="1"/>
      </right>
      <top style="thin">
        <color auto="1"/>
      </top>
      <bottom/>
      <diagonal/>
    </border>
    <border>
      <left/>
      <right style="thin">
        <color rgb="FF800000"/>
      </right>
      <top/>
      <bottom/>
      <diagonal/>
    </border>
    <border>
      <left style="thin">
        <color rgb="FF800000"/>
      </left>
      <right style="thin">
        <color auto="1"/>
      </right>
      <top/>
      <bottom/>
      <diagonal/>
    </border>
    <border>
      <left/>
      <right style="thin">
        <color rgb="FF800000"/>
      </right>
      <top/>
      <bottom style="thin">
        <color auto="1"/>
      </bottom>
      <diagonal/>
    </border>
    <border>
      <left/>
      <right style="thin">
        <color rgb="FF800000"/>
      </right>
      <top style="thin">
        <color auto="1"/>
      </top>
      <bottom/>
      <diagonal/>
    </border>
    <border>
      <left style="thin">
        <color auto="1"/>
      </left>
      <right style="thin">
        <color rgb="FF800000"/>
      </right>
      <top/>
      <bottom/>
      <diagonal/>
    </border>
    <border>
      <left style="thin">
        <color rgb="FF800000"/>
      </left>
      <right/>
      <top/>
      <bottom/>
      <diagonal/>
    </border>
    <border>
      <left style="thin">
        <color rgb="FF800000"/>
      </left>
      <right/>
      <top style="medium">
        <color theme="5" tint="-0.499984740745262"/>
      </top>
      <bottom style="medium">
        <color theme="5" tint="-0.499984740745262"/>
      </bottom>
      <diagonal/>
    </border>
    <border>
      <left/>
      <right style="thin">
        <color rgb="FF800000"/>
      </right>
      <top style="medium">
        <color theme="5" tint="-0.499984740745262"/>
      </top>
      <bottom style="medium">
        <color theme="5" tint="-0.499984740745262"/>
      </bottom>
      <diagonal/>
    </border>
    <border>
      <left style="thin">
        <color rgb="FF800000"/>
      </left>
      <right/>
      <top style="medium">
        <color theme="5" tint="-0.499984740745262"/>
      </top>
      <bottom style="thin">
        <color auto="1"/>
      </bottom>
      <diagonal/>
    </border>
    <border>
      <left style="thin">
        <color rgb="FF800000"/>
      </left>
      <right/>
      <top style="medium">
        <color rgb="FF800000"/>
      </top>
      <bottom style="medium">
        <color theme="5" tint="-0.499984740745262"/>
      </bottom>
      <diagonal/>
    </border>
    <border>
      <left style="thin">
        <color rgb="FF800000"/>
      </left>
      <right/>
      <top style="medium">
        <color rgb="FF800000"/>
      </top>
      <bottom/>
      <diagonal/>
    </border>
    <border>
      <left/>
      <right/>
      <top style="medium">
        <color rgb="FF800000"/>
      </top>
      <bottom/>
      <diagonal/>
    </border>
    <border>
      <left/>
      <right style="thin">
        <color rgb="FF800000"/>
      </right>
      <top style="medium">
        <color rgb="FF800000"/>
      </top>
      <bottom/>
      <diagonal/>
    </border>
    <border>
      <left style="thin">
        <color rgb="FF800000"/>
      </left>
      <right/>
      <top/>
      <bottom style="medium">
        <color rgb="FF800000"/>
      </bottom>
      <diagonal/>
    </border>
    <border>
      <left/>
      <right/>
      <top style="thin">
        <color auto="1"/>
      </top>
      <bottom style="medium">
        <color rgb="FF800000"/>
      </bottom>
      <diagonal/>
    </border>
    <border>
      <left/>
      <right style="thin">
        <color rgb="FF800000"/>
      </right>
      <top style="thin">
        <color auto="1"/>
      </top>
      <bottom style="medium">
        <color rgb="FF800000"/>
      </bottom>
      <diagonal/>
    </border>
    <border>
      <left style="thin">
        <color rgb="FF800000"/>
      </left>
      <right/>
      <top/>
      <bottom style="medium">
        <color theme="5" tint="-0.499984740745262"/>
      </bottom>
      <diagonal/>
    </border>
    <border>
      <left/>
      <right style="thin">
        <color rgb="FF800000"/>
      </right>
      <top/>
      <bottom style="medium">
        <color theme="5" tint="-0.499984740745262"/>
      </bottom>
      <diagonal/>
    </border>
    <border>
      <left style="thin">
        <color auto="1"/>
      </left>
      <right style="thin">
        <color auto="1"/>
      </right>
      <top style="medium">
        <color rgb="FF800000"/>
      </top>
      <bottom style="thin">
        <color auto="1"/>
      </bottom>
      <diagonal/>
    </border>
    <border>
      <left/>
      <right style="thin">
        <color auto="1"/>
      </right>
      <top style="thin">
        <color auto="1"/>
      </top>
      <bottom style="thin">
        <color auto="1"/>
      </bottom>
      <diagonal/>
    </border>
    <border>
      <left/>
      <right style="thick">
        <color rgb="FFC00000"/>
      </right>
      <top/>
      <bottom style="medium">
        <color theme="5" tint="-0.499984740745262"/>
      </bottom>
      <diagonal/>
    </border>
    <border>
      <left/>
      <right style="thin">
        <color rgb="FF800000"/>
      </right>
      <top style="thin">
        <color auto="1"/>
      </top>
      <bottom style="medium">
        <color theme="5" tint="-0.499984740745262"/>
      </bottom>
      <diagonal/>
    </border>
    <border>
      <left/>
      <right/>
      <top style="medium">
        <color rgb="FF800000"/>
      </top>
      <bottom style="medium">
        <color theme="5" tint="-0.499984740745262"/>
      </bottom>
      <diagonal/>
    </border>
    <border>
      <left style="thin">
        <color theme="5" tint="-0.499984740745262"/>
      </left>
      <right style="thin">
        <color auto="1"/>
      </right>
      <top style="thin">
        <color auto="1"/>
      </top>
      <bottom style="thin">
        <color auto="1"/>
      </bottom>
      <diagonal/>
    </border>
    <border>
      <left style="thin">
        <color theme="5" tint="-0.499984740745262"/>
      </left>
      <right style="thin">
        <color auto="1"/>
      </right>
      <top/>
      <bottom style="thin">
        <color auto="1"/>
      </bottom>
      <diagonal/>
    </border>
    <border>
      <left style="thin">
        <color theme="5" tint="-0.499984740745262"/>
      </left>
      <right/>
      <top/>
      <bottom/>
      <diagonal/>
    </border>
    <border>
      <left style="thin">
        <color theme="5" tint="-0.499984740745262"/>
      </left>
      <right/>
      <top/>
      <bottom style="thin">
        <color auto="1"/>
      </bottom>
      <diagonal/>
    </border>
    <border>
      <left style="thin">
        <color theme="5" tint="-0.499984740745262"/>
      </left>
      <right/>
      <top style="thin">
        <color auto="1"/>
      </top>
      <bottom/>
      <diagonal/>
    </border>
    <border>
      <left style="thin">
        <color theme="5" tint="-0.499984740745262"/>
      </left>
      <right/>
      <top style="thin">
        <color auto="1"/>
      </top>
      <bottom style="medium">
        <color theme="5" tint="-0.499984740745262"/>
      </bottom>
      <diagonal/>
    </border>
    <border>
      <left style="thin">
        <color theme="5" tint="-0.499984740745262"/>
      </left>
      <right style="thin">
        <color auto="1"/>
      </right>
      <top/>
      <bottom/>
      <diagonal/>
    </border>
    <border>
      <left style="thin">
        <color auto="1"/>
      </left>
      <right/>
      <top style="thin">
        <color auto="1"/>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rgb="FF800000"/>
      </right>
      <top style="medium">
        <color rgb="FF800000"/>
      </top>
      <bottom style="medium">
        <color rgb="FF800000"/>
      </bottom>
      <diagonal/>
    </border>
    <border>
      <left/>
      <right/>
      <top style="medium">
        <color theme="5" tint="-0.499984740745262"/>
      </top>
      <bottom/>
      <diagonal/>
    </border>
    <border>
      <left/>
      <right style="medium">
        <color theme="5" tint="-0.499984740745262"/>
      </right>
      <top style="medium">
        <color theme="5" tint="-0.499984740745262"/>
      </top>
      <bottom/>
      <diagonal/>
    </border>
    <border>
      <left/>
      <right style="medium">
        <color theme="5" tint="-0.499984740745262"/>
      </right>
      <top/>
      <bottom style="thin">
        <color auto="1"/>
      </bottom>
      <diagonal/>
    </border>
    <border>
      <left/>
      <right style="medium">
        <color theme="5" tint="-0.499984740745262"/>
      </right>
      <top/>
      <bottom/>
      <diagonal/>
    </border>
    <border>
      <left style="medium">
        <color theme="5" tint="-0.499984740745262"/>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medium">
        <color rgb="FF800000"/>
      </left>
      <right/>
      <top style="medium">
        <color rgb="FF800000"/>
      </top>
      <bottom style="medium">
        <color rgb="FF800000"/>
      </bottom>
      <diagonal/>
    </border>
    <border>
      <left style="medium">
        <color rgb="FF800000"/>
      </left>
      <right/>
      <top style="medium">
        <color rgb="FF800000"/>
      </top>
      <bottom style="medium">
        <color theme="5" tint="-0.499984740745262"/>
      </bottom>
      <diagonal/>
    </border>
  </borders>
  <cellStyleXfs count="19">
    <xf numFmtId="0" fontId="0" fillId="0" borderId="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cellStyleXfs>
  <cellXfs count="228">
    <xf numFmtId="0" fontId="0" fillId="0" borderId="0" xfId="0"/>
    <xf numFmtId="0" fontId="0" fillId="0" borderId="0" xfId="0" applyBorder="1"/>
    <xf numFmtId="0" fontId="0" fillId="0" borderId="0" xfId="0" applyFill="1" applyBorder="1"/>
    <xf numFmtId="0" fontId="0" fillId="0" borderId="0" xfId="0" applyFill="1"/>
    <xf numFmtId="0" fontId="6" fillId="0" borderId="0" xfId="0" applyFont="1" applyFill="1" applyBorder="1" applyAlignment="1">
      <alignment horizontal="center" vertical="center"/>
    </xf>
    <xf numFmtId="0" fontId="6" fillId="0" borderId="0" xfId="0" applyFont="1" applyFill="1" applyBorder="1" applyAlignment="1">
      <alignment vertical="center"/>
    </xf>
    <xf numFmtId="0" fontId="5" fillId="0" borderId="0" xfId="0" applyFont="1" applyFill="1" applyBorder="1"/>
    <xf numFmtId="0" fontId="7" fillId="0" borderId="0" xfId="0" applyFont="1" applyFill="1" applyBorder="1" applyAlignment="1">
      <alignment vertical="center" shrinkToFit="1"/>
    </xf>
    <xf numFmtId="0" fontId="5" fillId="0" borderId="0" xfId="0" applyFont="1" applyFill="1" applyBorder="1" applyAlignment="1">
      <alignment horizontal="center" vertical="center"/>
    </xf>
    <xf numFmtId="0" fontId="8" fillId="0" borderId="0" xfId="0" applyFont="1" applyFill="1" applyBorder="1" applyAlignment="1">
      <alignment horizontal="left" vertical="center"/>
    </xf>
    <xf numFmtId="0" fontId="5" fillId="0" borderId="0" xfId="0" applyFont="1" applyFill="1" applyBorder="1" applyAlignment="1">
      <alignment vertical="center"/>
    </xf>
    <xf numFmtId="0" fontId="4" fillId="0" borderId="0" xfId="0" applyFont="1" applyFill="1" applyBorder="1" applyAlignment="1">
      <alignment vertical="center"/>
    </xf>
    <xf numFmtId="0" fontId="10" fillId="0" borderId="0" xfId="0" applyFont="1" applyFill="1" applyBorder="1" applyAlignment="1">
      <alignment vertical="center"/>
    </xf>
    <xf numFmtId="0" fontId="5" fillId="0" borderId="0" xfId="0" applyFont="1" applyFill="1" applyBorder="1" applyAlignment="1">
      <alignment horizontal="left" vertical="center"/>
    </xf>
    <xf numFmtId="0" fontId="6" fillId="0" borderId="0" xfId="0" applyFont="1" applyFill="1" applyBorder="1" applyAlignment="1">
      <alignment horizontal="left" vertical="center"/>
    </xf>
    <xf numFmtId="0" fontId="0" fillId="0" borderId="0" xfId="0" applyAlignment="1">
      <alignment horizontal="left"/>
    </xf>
    <xf numFmtId="0" fontId="5" fillId="0" borderId="0" xfId="0" applyFont="1" applyFill="1" applyBorder="1" applyAlignment="1">
      <alignment horizontal="center"/>
    </xf>
    <xf numFmtId="0" fontId="6" fillId="3" borderId="0" xfId="0" applyFont="1" applyFill="1" applyBorder="1" applyAlignment="1">
      <alignment vertical="center"/>
    </xf>
    <xf numFmtId="0" fontId="5" fillId="3" borderId="4"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0" xfId="0" applyFont="1" applyFill="1" applyBorder="1" applyAlignment="1">
      <alignment vertical="center"/>
    </xf>
    <xf numFmtId="0" fontId="5" fillId="3" borderId="6" xfId="0" applyFont="1" applyFill="1" applyBorder="1" applyAlignment="1">
      <alignment horizontal="center" vertical="center"/>
    </xf>
    <xf numFmtId="0" fontId="6" fillId="3" borderId="5" xfId="0" applyFont="1" applyFill="1" applyBorder="1" applyAlignment="1">
      <alignment horizontal="center" vertical="center"/>
    </xf>
    <xf numFmtId="0" fontId="5" fillId="3" borderId="19" xfId="0" applyFont="1" applyFill="1" applyBorder="1" applyAlignment="1">
      <alignment horizontal="center" vertical="center"/>
    </xf>
    <xf numFmtId="0" fontId="6" fillId="3" borderId="18" xfId="0" applyFont="1" applyFill="1" applyBorder="1" applyAlignment="1">
      <alignment vertical="center"/>
    </xf>
    <xf numFmtId="0" fontId="5" fillId="3" borderId="18"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pplyAlignment="1">
      <alignment vertical="center"/>
    </xf>
    <xf numFmtId="0" fontId="6" fillId="3" borderId="1" xfId="0" applyFont="1" applyFill="1" applyBorder="1" applyAlignment="1">
      <alignment horizontal="left" vertical="center"/>
    </xf>
    <xf numFmtId="0" fontId="6" fillId="3" borderId="0" xfId="0" applyFont="1" applyFill="1" applyBorder="1" applyAlignment="1">
      <alignment horizontal="center" vertical="center"/>
    </xf>
    <xf numFmtId="0" fontId="5" fillId="3" borderId="20" xfId="0" applyFont="1" applyFill="1" applyBorder="1" applyAlignment="1">
      <alignment horizontal="center" vertical="center"/>
    </xf>
    <xf numFmtId="0" fontId="4" fillId="3" borderId="0" xfId="0" applyFont="1" applyFill="1" applyBorder="1" applyAlignment="1">
      <alignment vertical="center"/>
    </xf>
    <xf numFmtId="0" fontId="6" fillId="3" borderId="20" xfId="0" applyFont="1" applyFill="1" applyBorder="1" applyAlignment="1">
      <alignment vertical="center"/>
    </xf>
    <xf numFmtId="0" fontId="11" fillId="3" borderId="2" xfId="0" applyFont="1" applyFill="1" applyBorder="1" applyAlignment="1">
      <alignment horizontal="center" vertical="center"/>
    </xf>
    <xf numFmtId="0" fontId="0" fillId="3" borderId="2" xfId="0" applyFont="1" applyFill="1" applyBorder="1" applyAlignment="1">
      <alignment horizontal="center" vertical="center"/>
    </xf>
    <xf numFmtId="0" fontId="0" fillId="3" borderId="23" xfId="0" applyFont="1" applyFill="1" applyBorder="1" applyAlignment="1">
      <alignment horizontal="center" vertical="center"/>
    </xf>
    <xf numFmtId="0" fontId="6" fillId="3" borderId="0" xfId="0" applyFont="1" applyFill="1" applyBorder="1" applyAlignment="1">
      <alignment horizontal="left" vertical="center"/>
    </xf>
    <xf numFmtId="0" fontId="6" fillId="3" borderId="13" xfId="0" applyFont="1" applyFill="1" applyBorder="1" applyAlignment="1">
      <alignment horizontal="left" vertical="center"/>
    </xf>
    <xf numFmtId="0" fontId="6" fillId="3" borderId="6" xfId="0" applyFont="1" applyFill="1" applyBorder="1" applyAlignment="1">
      <alignment vertical="center"/>
    </xf>
    <xf numFmtId="0" fontId="5" fillId="3" borderId="23" xfId="0" applyFont="1" applyFill="1" applyBorder="1" applyAlignment="1">
      <alignment vertical="center"/>
    </xf>
    <xf numFmtId="0" fontId="5" fillId="3" borderId="22" xfId="0" applyFont="1" applyFill="1" applyBorder="1" applyAlignment="1">
      <alignment vertical="center"/>
    </xf>
    <xf numFmtId="0" fontId="4" fillId="3" borderId="4" xfId="0" applyFont="1" applyFill="1" applyBorder="1" applyAlignment="1">
      <alignment vertical="center"/>
    </xf>
    <xf numFmtId="0" fontId="8" fillId="3" borderId="1" xfId="0" applyFont="1" applyFill="1" applyBorder="1" applyAlignment="1">
      <alignment vertical="center"/>
    </xf>
    <xf numFmtId="0" fontId="5" fillId="3" borderId="28" xfId="0" applyFont="1" applyFill="1" applyBorder="1" applyAlignment="1">
      <alignment horizontal="center" vertical="center"/>
    </xf>
    <xf numFmtId="0" fontId="4" fillId="3" borderId="3" xfId="0" applyFont="1" applyFill="1" applyBorder="1"/>
    <xf numFmtId="0" fontId="5" fillId="3" borderId="18" xfId="0" applyFont="1" applyFill="1" applyBorder="1" applyAlignment="1">
      <alignment vertical="center"/>
    </xf>
    <xf numFmtId="0" fontId="5" fillId="3" borderId="6" xfId="0" applyFont="1" applyFill="1" applyBorder="1" applyAlignment="1">
      <alignment vertical="center"/>
    </xf>
    <xf numFmtId="0" fontId="6" fillId="3" borderId="1" xfId="0" applyFont="1" applyFill="1" applyBorder="1" applyAlignment="1">
      <alignment vertical="center"/>
    </xf>
    <xf numFmtId="0" fontId="6" fillId="3" borderId="22" xfId="0" applyFont="1" applyFill="1" applyBorder="1" applyAlignment="1">
      <alignment vertical="center"/>
    </xf>
    <xf numFmtId="0" fontId="4" fillId="3" borderId="16" xfId="0" applyFont="1" applyFill="1" applyBorder="1" applyAlignment="1">
      <alignment vertical="center"/>
    </xf>
    <xf numFmtId="0" fontId="4" fillId="3" borderId="19" xfId="0" applyFont="1" applyFill="1" applyBorder="1" applyAlignment="1">
      <alignment vertical="center"/>
    </xf>
    <xf numFmtId="49" fontId="6" fillId="3" borderId="1" xfId="0" quotePrefix="1" applyNumberFormat="1" applyFont="1" applyFill="1" applyBorder="1" applyAlignment="1">
      <alignment horizontal="left" vertical="center"/>
    </xf>
    <xf numFmtId="0" fontId="6" fillId="3" borderId="24" xfId="0" applyFont="1" applyFill="1" applyBorder="1" applyAlignment="1">
      <alignment horizontal="left" vertical="top"/>
    </xf>
    <xf numFmtId="0" fontId="6" fillId="3" borderId="15" xfId="0" applyFont="1" applyFill="1" applyBorder="1" applyAlignment="1">
      <alignment vertical="center"/>
    </xf>
    <xf numFmtId="0" fontId="6" fillId="3" borderId="22" xfId="0" applyFont="1" applyFill="1" applyBorder="1" applyAlignment="1">
      <alignment horizontal="left" vertical="top"/>
    </xf>
    <xf numFmtId="0" fontId="6" fillId="3" borderId="20" xfId="0" applyFont="1" applyFill="1" applyBorder="1" applyAlignment="1">
      <alignment horizontal="left" vertical="top"/>
    </xf>
    <xf numFmtId="0" fontId="5" fillId="3" borderId="33" xfId="0" applyFont="1" applyFill="1" applyBorder="1" applyAlignment="1">
      <alignment horizontal="left" vertical="center"/>
    </xf>
    <xf numFmtId="0" fontId="6" fillId="3" borderId="34" xfId="0" applyFont="1" applyFill="1" applyBorder="1" applyAlignment="1">
      <alignment vertical="center"/>
    </xf>
    <xf numFmtId="0" fontId="5" fillId="3" borderId="0" xfId="0" applyFont="1" applyFill="1" applyBorder="1" applyAlignment="1">
      <alignment horizontal="center" vertical="center"/>
    </xf>
    <xf numFmtId="0" fontId="5" fillId="3" borderId="20" xfId="0" applyFont="1" applyFill="1" applyBorder="1" applyAlignment="1">
      <alignment vertical="center"/>
    </xf>
    <xf numFmtId="0" fontId="6" fillId="3" borderId="17" xfId="0" applyFont="1" applyFill="1" applyBorder="1" applyAlignment="1">
      <alignment horizontal="center" vertical="center"/>
    </xf>
    <xf numFmtId="0" fontId="5" fillId="3" borderId="0" xfId="0" applyFont="1" applyFill="1" applyBorder="1" applyAlignment="1">
      <alignment horizontal="left" vertical="center"/>
    </xf>
    <xf numFmtId="0" fontId="10" fillId="0" borderId="26" xfId="0" applyFont="1" applyFill="1" applyBorder="1"/>
    <xf numFmtId="0" fontId="5" fillId="0" borderId="11" xfId="0" applyFont="1" applyFill="1" applyBorder="1"/>
    <xf numFmtId="0" fontId="5" fillId="0" borderId="11" xfId="0" applyFont="1" applyFill="1" applyBorder="1" applyAlignment="1">
      <alignment vertical="center"/>
    </xf>
    <xf numFmtId="0" fontId="4" fillId="0" borderId="11" xfId="0" applyFont="1" applyFill="1" applyBorder="1"/>
    <xf numFmtId="0" fontId="5" fillId="0" borderId="27" xfId="0" applyFont="1" applyFill="1" applyBorder="1"/>
    <xf numFmtId="0" fontId="5" fillId="3" borderId="2" xfId="0" applyFont="1" applyFill="1" applyBorder="1" applyAlignment="1">
      <alignment horizontal="center" vertical="center"/>
    </xf>
    <xf numFmtId="0" fontId="9" fillId="3" borderId="23" xfId="0" applyFont="1" applyFill="1" applyBorder="1" applyAlignment="1">
      <alignment vertical="center"/>
    </xf>
    <xf numFmtId="0" fontId="18" fillId="3" borderId="20" xfId="0" applyFont="1" applyFill="1" applyBorder="1" applyAlignment="1">
      <alignment vertical="center"/>
    </xf>
    <xf numFmtId="0" fontId="22" fillId="0" borderId="0" xfId="0" applyFont="1" applyFill="1" applyBorder="1" applyAlignment="1">
      <alignment vertical="center"/>
    </xf>
    <xf numFmtId="0" fontId="4" fillId="3" borderId="14" xfId="0" applyFont="1" applyFill="1" applyBorder="1" applyAlignment="1">
      <alignment vertical="center"/>
    </xf>
    <xf numFmtId="0" fontId="23" fillId="0" borderId="0" xfId="0" applyFont="1" applyFill="1" applyBorder="1"/>
    <xf numFmtId="0" fontId="14" fillId="0" borderId="0" xfId="0" applyFont="1" applyFill="1" applyBorder="1" applyAlignment="1">
      <alignment horizontal="left" vertical="top"/>
    </xf>
    <xf numFmtId="0" fontId="15" fillId="0" borderId="0" xfId="0" applyFont="1" applyFill="1" applyBorder="1" applyAlignment="1">
      <alignment horizontal="left" vertical="top"/>
    </xf>
    <xf numFmtId="0" fontId="0" fillId="0" borderId="0" xfId="0" applyFill="1" applyBorder="1" applyAlignment="1">
      <alignment horizontal="left" vertical="top"/>
    </xf>
    <xf numFmtId="0" fontId="14" fillId="0" borderId="0" xfId="0" applyFont="1" applyFill="1" applyBorder="1" applyAlignment="1">
      <alignment horizontal="right"/>
    </xf>
    <xf numFmtId="0" fontId="0" fillId="0" borderId="0" xfId="0" applyFill="1" applyBorder="1" applyAlignment="1">
      <alignment horizontal="right"/>
    </xf>
    <xf numFmtId="0" fontId="5" fillId="3" borderId="18" xfId="0" applyFont="1" applyFill="1" applyBorder="1" applyAlignment="1">
      <alignment horizontal="center" vertical="top"/>
    </xf>
    <xf numFmtId="0" fontId="5" fillId="3" borderId="21" xfId="0" applyFont="1" applyFill="1" applyBorder="1" applyAlignment="1">
      <alignment horizontal="center"/>
    </xf>
    <xf numFmtId="0" fontId="4" fillId="3" borderId="16" xfId="0" applyFont="1" applyFill="1" applyBorder="1" applyAlignment="1"/>
    <xf numFmtId="0" fontId="5" fillId="3" borderId="18" xfId="0" applyFont="1" applyFill="1" applyBorder="1" applyAlignment="1">
      <alignment horizontal="left" vertical="top"/>
    </xf>
    <xf numFmtId="0" fontId="5" fillId="3" borderId="6" xfId="0" applyFont="1" applyFill="1" applyBorder="1" applyAlignment="1">
      <alignment horizontal="left" vertical="top" shrinkToFit="1"/>
    </xf>
    <xf numFmtId="0" fontId="5" fillId="3" borderId="6" xfId="0" applyFont="1" applyFill="1" applyBorder="1" applyAlignment="1">
      <alignment horizontal="center" vertical="top"/>
    </xf>
    <xf numFmtId="0" fontId="5" fillId="3" borderId="3" xfId="0" applyFont="1" applyFill="1" applyBorder="1" applyAlignment="1">
      <alignment horizontal="center"/>
    </xf>
    <xf numFmtId="0" fontId="5" fillId="3" borderId="19" xfId="0" applyFont="1" applyFill="1" applyBorder="1" applyAlignment="1">
      <alignment horizontal="center"/>
    </xf>
    <xf numFmtId="0" fontId="5" fillId="3" borderId="19" xfId="0" applyFont="1" applyFill="1" applyBorder="1" applyAlignment="1"/>
    <xf numFmtId="0" fontId="0" fillId="0" borderId="0" xfId="0" applyFont="1" applyFill="1" applyBorder="1" applyAlignment="1">
      <alignment horizontal="center" vertical="center"/>
    </xf>
    <xf numFmtId="0" fontId="8" fillId="2" borderId="41" xfId="0" applyFont="1" applyFill="1" applyBorder="1" applyAlignment="1">
      <alignment horizontal="left" vertical="center"/>
    </xf>
    <xf numFmtId="0" fontId="6" fillId="3" borderId="0" xfId="0" applyFont="1" applyFill="1" applyBorder="1" applyAlignment="1"/>
    <xf numFmtId="0" fontId="24" fillId="0" borderId="0" xfId="0" applyFont="1" applyFill="1" applyBorder="1"/>
    <xf numFmtId="0" fontId="2" fillId="3" borderId="4" xfId="0" applyFont="1" applyFill="1" applyBorder="1" applyAlignment="1">
      <alignment vertical="center"/>
    </xf>
    <xf numFmtId="0" fontId="2" fillId="3" borderId="0" xfId="0" applyFont="1" applyFill="1" applyBorder="1" applyAlignment="1">
      <alignment horizontal="center"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5" fillId="3" borderId="13" xfId="0" applyFont="1" applyFill="1" applyBorder="1" applyAlignment="1">
      <alignment horizontal="center" vertical="center"/>
    </xf>
    <xf numFmtId="0" fontId="0" fillId="0" borderId="0" xfId="0" applyFill="1" applyBorder="1" applyAlignment="1">
      <alignment vertical="center"/>
    </xf>
    <xf numFmtId="0" fontId="14" fillId="3" borderId="0" xfId="0" applyFont="1" applyFill="1" applyBorder="1"/>
    <xf numFmtId="0" fontId="14" fillId="3" borderId="23" xfId="0" applyFont="1" applyFill="1" applyBorder="1"/>
    <xf numFmtId="0" fontId="14" fillId="3" borderId="20" xfId="0" applyFont="1" applyFill="1" applyBorder="1" applyAlignment="1">
      <alignment horizontal="center" vertical="center"/>
    </xf>
    <xf numFmtId="0" fontId="14" fillId="3" borderId="0" xfId="0" applyFont="1" applyFill="1" applyBorder="1" applyAlignment="1">
      <alignment vertical="center"/>
    </xf>
    <xf numFmtId="0" fontId="14" fillId="3" borderId="20" xfId="0" applyFont="1" applyFill="1" applyBorder="1"/>
    <xf numFmtId="0" fontId="14" fillId="0" borderId="0" xfId="0" applyFont="1" applyFill="1" applyBorder="1" applyAlignment="1">
      <alignment horizontal="center"/>
    </xf>
    <xf numFmtId="0" fontId="2" fillId="0" borderId="5" xfId="0" applyFont="1" applyBorder="1" applyAlignment="1">
      <alignment horizontal="center" vertical="center"/>
    </xf>
    <xf numFmtId="0" fontId="4" fillId="3" borderId="1" xfId="0" applyFont="1" applyFill="1" applyBorder="1" applyAlignment="1">
      <alignment vertical="center"/>
    </xf>
    <xf numFmtId="0" fontId="0" fillId="3" borderId="23" xfId="0" applyFont="1" applyFill="1" applyBorder="1" applyAlignment="1">
      <alignment vertical="center"/>
    </xf>
    <xf numFmtId="0" fontId="6" fillId="3" borderId="6" xfId="0" applyFont="1" applyFill="1" applyBorder="1" applyAlignment="1">
      <alignment horizontal="center" vertical="center"/>
    </xf>
    <xf numFmtId="0" fontId="0" fillId="3" borderId="6" xfId="0" applyFont="1" applyFill="1" applyBorder="1" applyAlignment="1">
      <alignment vertical="center"/>
    </xf>
    <xf numFmtId="0" fontId="0" fillId="3" borderId="22" xfId="0" applyFont="1" applyFill="1" applyBorder="1" applyAlignment="1">
      <alignment vertical="center"/>
    </xf>
    <xf numFmtId="0" fontId="0" fillId="3" borderId="0" xfId="0" applyFont="1" applyFill="1" applyBorder="1" applyAlignment="1">
      <alignment vertical="center"/>
    </xf>
    <xf numFmtId="0" fontId="2" fillId="3" borderId="4" xfId="0" quotePrefix="1" applyFont="1" applyFill="1" applyBorder="1" applyAlignment="1">
      <alignment horizontal="center" vertical="center"/>
    </xf>
    <xf numFmtId="0" fontId="2" fillId="3" borderId="0" xfId="0" quotePrefix="1" applyFont="1" applyFill="1" applyBorder="1" applyAlignment="1">
      <alignment horizontal="center" vertical="center" shrinkToFit="1"/>
    </xf>
    <xf numFmtId="0" fontId="4" fillId="3" borderId="10" xfId="0" applyFont="1" applyFill="1" applyBorder="1" applyAlignment="1">
      <alignment vertical="center" shrinkToFit="1"/>
    </xf>
    <xf numFmtId="0" fontId="0" fillId="0" borderId="29" xfId="0" applyFont="1" applyFill="1" applyBorder="1" applyAlignment="1">
      <alignment vertical="center"/>
    </xf>
    <xf numFmtId="0" fontId="0" fillId="0" borderId="11" xfId="0" applyFont="1" applyFill="1" applyBorder="1" applyAlignment="1">
      <alignment vertical="center"/>
    </xf>
    <xf numFmtId="0" fontId="0" fillId="0" borderId="40" xfId="0" applyFont="1" applyFill="1" applyBorder="1" applyAlignment="1">
      <alignment vertical="center"/>
    </xf>
    <xf numFmtId="0" fontId="0" fillId="0" borderId="12" xfId="0" applyFont="1" applyFill="1" applyBorder="1" applyAlignment="1">
      <alignment vertical="center"/>
    </xf>
    <xf numFmtId="0" fontId="0" fillId="0" borderId="9" xfId="0" applyFont="1" applyFill="1" applyBorder="1" applyAlignment="1">
      <alignment vertical="center"/>
    </xf>
    <xf numFmtId="0" fontId="0" fillId="0" borderId="27" xfId="0" applyFont="1" applyFill="1" applyBorder="1" applyAlignment="1">
      <alignment vertical="center"/>
    </xf>
    <xf numFmtId="0" fontId="0" fillId="3" borderId="20" xfId="0" applyFont="1" applyFill="1" applyBorder="1" applyAlignment="1">
      <alignment vertical="center"/>
    </xf>
    <xf numFmtId="0" fontId="2" fillId="0" borderId="8" xfId="0" applyFont="1" applyBorder="1" applyAlignment="1">
      <alignment horizontal="center" vertical="center"/>
    </xf>
    <xf numFmtId="0" fontId="0" fillId="3" borderId="34" xfId="0" applyFont="1" applyFill="1" applyBorder="1"/>
    <xf numFmtId="0" fontId="0" fillId="3" borderId="34" xfId="0" applyFont="1" applyFill="1" applyBorder="1" applyAlignment="1">
      <alignment vertical="center"/>
    </xf>
    <xf numFmtId="0" fontId="0" fillId="3" borderId="35" xfId="0" applyFont="1" applyFill="1" applyBorder="1" applyAlignment="1">
      <alignment vertical="center"/>
    </xf>
    <xf numFmtId="0" fontId="5" fillId="3" borderId="30" xfId="0" applyFont="1" applyFill="1" applyBorder="1" applyAlignment="1">
      <alignment horizontal="center"/>
    </xf>
    <xf numFmtId="0" fontId="5" fillId="3" borderId="4" xfId="0" applyFont="1" applyFill="1" applyBorder="1" applyAlignment="1">
      <alignment horizontal="left" vertical="top"/>
    </xf>
    <xf numFmtId="0" fontId="5" fillId="3" borderId="18" xfId="0" applyFont="1" applyFill="1" applyBorder="1" applyAlignment="1">
      <alignment horizontal="left" vertical="center"/>
    </xf>
    <xf numFmtId="0" fontId="5" fillId="3" borderId="1" xfId="0" applyFont="1" applyFill="1" applyBorder="1" applyAlignment="1">
      <alignment horizontal="center" vertical="center"/>
    </xf>
    <xf numFmtId="0" fontId="5" fillId="3" borderId="2" xfId="0" applyFont="1" applyFill="1" applyBorder="1" applyAlignment="1">
      <alignment horizontal="left"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top"/>
    </xf>
    <xf numFmtId="0" fontId="5" fillId="3" borderId="45" xfId="0" applyFont="1" applyFill="1" applyBorder="1" applyAlignment="1">
      <alignment horizontal="center" shrinkToFit="1"/>
    </xf>
    <xf numFmtId="0" fontId="5" fillId="3" borderId="46" xfId="0" applyFont="1" applyFill="1" applyBorder="1" applyAlignment="1">
      <alignment horizontal="center" vertical="top"/>
    </xf>
    <xf numFmtId="0" fontId="11" fillId="3" borderId="47" xfId="0" applyFont="1" applyFill="1" applyBorder="1" applyAlignment="1">
      <alignment vertical="center"/>
    </xf>
    <xf numFmtId="0" fontId="5" fillId="3" borderId="46" xfId="0" applyFont="1" applyFill="1" applyBorder="1" applyAlignment="1">
      <alignment horizontal="right" vertical="top"/>
    </xf>
    <xf numFmtId="0" fontId="6" fillId="3" borderId="46" xfId="0" applyFont="1" applyFill="1" applyBorder="1" applyAlignment="1">
      <alignment vertical="center"/>
    </xf>
    <xf numFmtId="0" fontId="5" fillId="3" borderId="18" xfId="0" applyFont="1" applyFill="1" applyBorder="1" applyAlignment="1">
      <alignment horizontal="left" vertical="center"/>
    </xf>
    <xf numFmtId="0" fontId="5" fillId="3" borderId="1" xfId="0" applyFont="1" applyFill="1" applyBorder="1" applyAlignment="1">
      <alignment horizontal="center" vertical="center"/>
    </xf>
    <xf numFmtId="0" fontId="5" fillId="3" borderId="49" xfId="0" applyFont="1" applyFill="1" applyBorder="1" applyAlignment="1">
      <alignment horizontal="center"/>
    </xf>
    <xf numFmtId="0" fontId="5" fillId="0" borderId="0" xfId="0" applyFont="1" applyFill="1" applyBorder="1" applyAlignment="1"/>
    <xf numFmtId="0" fontId="5" fillId="0" borderId="0" xfId="0" applyFont="1" applyFill="1" applyBorder="1" applyAlignment="1">
      <alignment horizontal="right" vertical="top"/>
    </xf>
    <xf numFmtId="0" fontId="5" fillId="3" borderId="45" xfId="0" applyFont="1" applyFill="1" applyBorder="1" applyAlignment="1">
      <alignment vertical="center"/>
    </xf>
    <xf numFmtId="0" fontId="5" fillId="3" borderId="20" xfId="0" quotePrefix="1" applyFont="1" applyFill="1" applyBorder="1" applyAlignment="1">
      <alignment horizontal="left"/>
    </xf>
    <xf numFmtId="0" fontId="5" fillId="3" borderId="22" xfId="0" applyFont="1" applyFill="1" applyBorder="1" applyAlignment="1">
      <alignment vertical="top"/>
    </xf>
    <xf numFmtId="0" fontId="4" fillId="0" borderId="0" xfId="0" quotePrefix="1" applyFont="1" applyFill="1" applyBorder="1" applyAlignment="1">
      <alignment horizontal="left"/>
    </xf>
    <xf numFmtId="0" fontId="5" fillId="0" borderId="0" xfId="0" applyFont="1" applyFill="1" applyBorder="1" applyAlignment="1">
      <alignment horizontal="center" vertical="top"/>
    </xf>
    <xf numFmtId="0" fontId="4" fillId="0" borderId="0" xfId="0" applyFont="1" applyFill="1" applyBorder="1" applyAlignment="1">
      <alignment vertical="top"/>
    </xf>
    <xf numFmtId="0" fontId="4" fillId="0" borderId="0" xfId="0" applyFont="1" applyFill="1" applyBorder="1" applyAlignment="1">
      <alignment horizontal="center"/>
    </xf>
    <xf numFmtId="0" fontId="25" fillId="3" borderId="45" xfId="0" applyFont="1" applyFill="1" applyBorder="1" applyAlignment="1">
      <alignment horizontal="left" vertical="center"/>
    </xf>
    <xf numFmtId="0" fontId="5" fillId="3" borderId="23" xfId="0" quotePrefix="1" applyFont="1" applyFill="1" applyBorder="1" applyAlignment="1">
      <alignment horizontal="left"/>
    </xf>
    <xf numFmtId="0" fontId="5" fillId="3" borderId="7" xfId="0" applyFont="1" applyFill="1" applyBorder="1" applyAlignment="1">
      <alignment vertical="top"/>
    </xf>
    <xf numFmtId="0" fontId="5" fillId="3" borderId="2" xfId="0" applyFont="1" applyFill="1" applyBorder="1" applyAlignment="1"/>
    <xf numFmtId="0" fontId="0" fillId="3" borderId="45" xfId="0" applyFill="1" applyBorder="1"/>
    <xf numFmtId="0" fontId="0" fillId="3" borderId="46" xfId="0" applyFill="1" applyBorder="1"/>
    <xf numFmtId="0" fontId="5" fillId="3" borderId="50" xfId="0" applyFont="1" applyFill="1" applyBorder="1" applyAlignment="1">
      <alignment horizontal="left"/>
    </xf>
    <xf numFmtId="0" fontId="5" fillId="3" borderId="47" xfId="0" applyFont="1" applyFill="1" applyBorder="1" applyAlignment="1">
      <alignment horizontal="left" shrinkToFit="1"/>
    </xf>
    <xf numFmtId="0" fontId="28" fillId="0" borderId="0" xfId="0" applyNumberFormat="1" applyFont="1" applyAlignment="1">
      <alignment vertical="top" wrapText="1"/>
    </xf>
    <xf numFmtId="0" fontId="0" fillId="0" borderId="0" xfId="0" applyNumberFormat="1" applyAlignment="1">
      <alignment vertical="top" wrapText="1"/>
    </xf>
    <xf numFmtId="0" fontId="0" fillId="0" borderId="51" xfId="0" applyNumberFormat="1" applyBorder="1" applyAlignment="1">
      <alignment vertical="top" wrapText="1"/>
    </xf>
    <xf numFmtId="0" fontId="0" fillId="0" borderId="52" xfId="0" applyNumberFormat="1" applyBorder="1" applyAlignment="1">
      <alignment vertical="top" wrapText="1"/>
    </xf>
    <xf numFmtId="0" fontId="2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52" xfId="0" applyNumberFormat="1" applyBorder="1" applyAlignment="1">
      <alignment horizontal="center" vertical="top" wrapText="1"/>
    </xf>
    <xf numFmtId="0" fontId="0" fillId="0" borderId="53" xfId="0" applyNumberFormat="1" applyBorder="1" applyAlignment="1">
      <alignment horizontal="center" vertical="top" wrapText="1"/>
    </xf>
    <xf numFmtId="1" fontId="27" fillId="0" borderId="6" xfId="0" applyNumberFormat="1" applyFont="1" applyBorder="1" applyAlignment="1" applyProtection="1">
      <alignment horizontal="left" vertical="top"/>
      <protection hidden="1"/>
    </xf>
    <xf numFmtId="0" fontId="5" fillId="3" borderId="1" xfId="0" applyFont="1" applyFill="1" applyBorder="1" applyAlignment="1">
      <alignment horizontal="center" vertical="center" shrinkToFit="1"/>
    </xf>
    <xf numFmtId="165" fontId="14" fillId="0" borderId="38" xfId="0" applyNumberFormat="1" applyFont="1" applyFill="1" applyBorder="1" applyAlignment="1" applyProtection="1">
      <alignment horizontal="center" vertical="center"/>
      <protection hidden="1"/>
    </xf>
    <xf numFmtId="1" fontId="14" fillId="0" borderId="38" xfId="0" applyNumberFormat="1" applyFont="1" applyFill="1" applyBorder="1" applyAlignment="1" applyProtection="1">
      <alignment horizontal="center" vertical="center"/>
      <protection hidden="1"/>
    </xf>
    <xf numFmtId="0" fontId="5" fillId="0" borderId="8" xfId="0" applyFont="1" applyBorder="1" applyAlignment="1" applyProtection="1">
      <alignment horizontal="center" vertical="center"/>
    </xf>
    <xf numFmtId="164" fontId="14" fillId="0" borderId="38" xfId="0" applyNumberFormat="1" applyFont="1" applyFill="1" applyBorder="1" applyAlignment="1" applyProtection="1">
      <alignment horizontal="center" vertical="center"/>
      <protection hidden="1"/>
    </xf>
    <xf numFmtId="1" fontId="26" fillId="4" borderId="5" xfId="0" applyNumberFormat="1" applyFont="1" applyFill="1" applyBorder="1" applyAlignment="1">
      <alignment horizontal="center" vertical="center"/>
    </xf>
    <xf numFmtId="1" fontId="26" fillId="4" borderId="5" xfId="0" applyNumberFormat="1" applyFont="1" applyFill="1" applyBorder="1" applyAlignment="1" applyProtection="1">
      <alignment horizontal="center" vertical="center"/>
    </xf>
    <xf numFmtId="1" fontId="26" fillId="4" borderId="5" xfId="0" applyNumberFormat="1" applyFont="1" applyFill="1" applyBorder="1" applyAlignment="1" applyProtection="1">
      <alignment horizontal="center" vertical="center"/>
      <protection hidden="1"/>
    </xf>
    <xf numFmtId="1" fontId="27" fillId="0" borderId="0" xfId="0" applyNumberFormat="1" applyFont="1" applyBorder="1" applyAlignment="1" applyProtection="1">
      <alignment horizontal="left" vertical="top"/>
      <protection hidden="1"/>
    </xf>
    <xf numFmtId="0" fontId="0" fillId="0" borderId="0" xfId="0" applyBorder="1" applyAlignment="1">
      <alignment horizontal="center" vertical="center"/>
    </xf>
    <xf numFmtId="1" fontId="27" fillId="0" borderId="55" xfId="0" applyNumberFormat="1" applyFont="1" applyBorder="1" applyAlignment="1" applyProtection="1">
      <alignment horizontal="left" vertical="top"/>
      <protection hidden="1"/>
    </xf>
    <xf numFmtId="1" fontId="27" fillId="0" borderId="57" xfId="0" applyNumberFormat="1" applyFont="1" applyBorder="1" applyAlignment="1" applyProtection="1">
      <alignment horizontal="left" vertical="top"/>
      <protection hidden="1"/>
    </xf>
    <xf numFmtId="1" fontId="27" fillId="0" borderId="56" xfId="0" applyNumberFormat="1" applyFont="1" applyBorder="1" applyAlignment="1" applyProtection="1">
      <alignment horizontal="left" vertical="top"/>
      <protection hidden="1"/>
    </xf>
    <xf numFmtId="1" fontId="27" fillId="0" borderId="58" xfId="0" applyNumberFormat="1" applyFont="1" applyBorder="1" applyAlignment="1" applyProtection="1">
      <alignment horizontal="left" vertical="top"/>
      <protection hidden="1"/>
    </xf>
    <xf numFmtId="0" fontId="6" fillId="3" borderId="56" xfId="0" applyFont="1" applyFill="1" applyBorder="1" applyAlignment="1">
      <alignment vertical="top"/>
    </xf>
    <xf numFmtId="0" fontId="5" fillId="3" borderId="28" xfId="0" applyFont="1" applyFill="1" applyBorder="1" applyAlignment="1">
      <alignment vertical="center"/>
    </xf>
    <xf numFmtId="0" fontId="5" fillId="3" borderId="14" xfId="0" applyFont="1" applyFill="1" applyBorder="1" applyAlignment="1">
      <alignment horizontal="left" vertical="center"/>
    </xf>
    <xf numFmtId="1" fontId="14" fillId="0" borderId="59" xfId="0" applyNumberFormat="1" applyFont="1" applyBorder="1" applyAlignment="1" applyProtection="1">
      <alignment horizontal="left" vertical="top"/>
      <protection hidden="1"/>
    </xf>
    <xf numFmtId="1" fontId="14" fillId="0" borderId="0" xfId="0" applyNumberFormat="1" applyFont="1" applyBorder="1" applyAlignment="1" applyProtection="1">
      <alignment horizontal="left" vertical="top"/>
      <protection hidden="1"/>
    </xf>
    <xf numFmtId="165" fontId="26" fillId="5" borderId="60" xfId="0" applyNumberFormat="1" applyFont="1" applyFill="1" applyBorder="1" applyAlignment="1">
      <alignment horizontal="center"/>
    </xf>
    <xf numFmtId="0" fontId="14" fillId="3" borderId="14" xfId="0" applyFont="1" applyFill="1" applyBorder="1" applyAlignment="1">
      <alignment vertical="center"/>
    </xf>
    <xf numFmtId="0" fontId="4" fillId="3" borderId="36" xfId="0" applyFont="1" applyFill="1" applyBorder="1" applyAlignment="1">
      <alignment horizontal="left" vertical="center"/>
    </xf>
    <xf numFmtId="0" fontId="4" fillId="3" borderId="9" xfId="0" applyFont="1" applyFill="1" applyBorder="1" applyAlignment="1">
      <alignment horizontal="left" vertical="center"/>
    </xf>
    <xf numFmtId="0" fontId="4" fillId="3" borderId="37" xfId="0" applyFont="1" applyFill="1" applyBorder="1" applyAlignment="1">
      <alignment horizontal="left" vertical="center"/>
    </xf>
    <xf numFmtId="0" fontId="4" fillId="3" borderId="16" xfId="0" applyFont="1" applyFill="1" applyBorder="1" applyAlignment="1">
      <alignment horizontal="left"/>
    </xf>
    <xf numFmtId="0" fontId="4" fillId="3" borderId="3" xfId="0" applyFont="1" applyFill="1" applyBorder="1" applyAlignment="1">
      <alignment horizontal="left"/>
    </xf>
    <xf numFmtId="0" fontId="4" fillId="3" borderId="18" xfId="0" applyFont="1" applyFill="1" applyBorder="1" applyAlignment="1">
      <alignment horizontal="left" vertical="center"/>
    </xf>
    <xf numFmtId="0" fontId="4" fillId="3" borderId="6" xfId="0" applyFont="1" applyFill="1" applyBorder="1" applyAlignment="1">
      <alignment horizontal="left" vertical="center"/>
    </xf>
    <xf numFmtId="0" fontId="4" fillId="3" borderId="22" xfId="0" applyFont="1" applyFill="1" applyBorder="1" applyAlignment="1">
      <alignment horizontal="left" vertical="center"/>
    </xf>
    <xf numFmtId="0" fontId="3" fillId="3" borderId="30" xfId="0" applyFont="1" applyFill="1" applyBorder="1" applyAlignment="1">
      <alignment horizontal="left" vertical="center"/>
    </xf>
    <xf numFmtId="0" fontId="3" fillId="3" borderId="31" xfId="0" applyFont="1" applyFill="1" applyBorder="1" applyAlignment="1">
      <alignment horizontal="left" vertical="center"/>
    </xf>
    <xf numFmtId="0" fontId="3" fillId="3" borderId="32" xfId="0" applyFont="1" applyFill="1" applyBorder="1" applyAlignment="1">
      <alignment horizontal="left" vertical="center"/>
    </xf>
    <xf numFmtId="0" fontId="5" fillId="3" borderId="16" xfId="0" applyFont="1" applyFill="1" applyBorder="1" applyAlignment="1">
      <alignment horizontal="center"/>
    </xf>
    <xf numFmtId="0" fontId="5" fillId="3" borderId="2" xfId="0" applyFont="1" applyFill="1" applyBorder="1" applyAlignment="1">
      <alignment horizontal="center"/>
    </xf>
    <xf numFmtId="0" fontId="6" fillId="3" borderId="25" xfId="0" applyFont="1" applyFill="1" applyBorder="1" applyAlignment="1">
      <alignment horizontal="left"/>
    </xf>
    <xf numFmtId="0" fontId="6" fillId="2" borderId="0" xfId="0" applyFont="1" applyFill="1" applyBorder="1" applyAlignment="1">
      <alignment horizontal="left"/>
    </xf>
    <xf numFmtId="0" fontId="4" fillId="3" borderId="48" xfId="0" applyFont="1" applyFill="1" applyBorder="1" applyAlignment="1">
      <alignment horizontal="center" vertical="center" shrinkToFit="1"/>
    </xf>
    <xf numFmtId="0" fontId="4" fillId="3" borderId="10" xfId="0" applyFont="1" applyFill="1" applyBorder="1" applyAlignment="1">
      <alignment horizontal="center" vertical="center" shrinkToFit="1"/>
    </xf>
    <xf numFmtId="0" fontId="5" fillId="3" borderId="14"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39" xfId="0" applyFont="1" applyFill="1" applyBorder="1" applyAlignment="1">
      <alignment horizontal="center" vertical="center"/>
    </xf>
    <xf numFmtId="0" fontId="5" fillId="0" borderId="0" xfId="0" applyFont="1" applyFill="1" applyBorder="1" applyAlignment="1">
      <alignment horizontal="left"/>
    </xf>
    <xf numFmtId="0" fontId="5" fillId="3" borderId="47" xfId="0" applyFont="1" applyFill="1" applyBorder="1" applyAlignment="1">
      <alignment horizontal="left"/>
    </xf>
    <xf numFmtId="0" fontId="5" fillId="3" borderId="2" xfId="0" applyFont="1" applyFill="1" applyBorder="1" applyAlignment="1">
      <alignment horizontal="left"/>
    </xf>
    <xf numFmtId="0" fontId="5" fillId="3" borderId="18" xfId="0" applyFont="1" applyFill="1" applyBorder="1" applyAlignment="1">
      <alignment horizontal="left" vertical="center"/>
    </xf>
    <xf numFmtId="0" fontId="5" fillId="3" borderId="6" xfId="0" applyFont="1" applyFill="1" applyBorder="1" applyAlignment="1">
      <alignment horizontal="left" vertical="center"/>
    </xf>
    <xf numFmtId="0" fontId="5" fillId="3" borderId="22" xfId="0" applyFont="1" applyFill="1" applyBorder="1" applyAlignment="1">
      <alignment horizontal="left" vertical="center"/>
    </xf>
    <xf numFmtId="1" fontId="14" fillId="6" borderId="38" xfId="0" applyNumberFormat="1" applyFont="1" applyFill="1" applyBorder="1" applyAlignment="1" applyProtection="1">
      <alignment horizontal="center" vertical="center"/>
      <protection locked="0"/>
    </xf>
    <xf numFmtId="1" fontId="14" fillId="7" borderId="38" xfId="0" applyNumberFormat="1" applyFont="1" applyFill="1" applyBorder="1" applyAlignment="1" applyProtection="1">
      <alignment horizontal="center" vertical="center"/>
      <protection hidden="1"/>
    </xf>
    <xf numFmtId="165" fontId="14" fillId="7" borderId="38" xfId="0" applyNumberFormat="1" applyFont="1" applyFill="1" applyBorder="1" applyAlignment="1" applyProtection="1">
      <alignment horizontal="center" vertical="center"/>
      <protection hidden="1"/>
    </xf>
    <xf numFmtId="165" fontId="14" fillId="7" borderId="38" xfId="0" applyNumberFormat="1" applyFont="1" applyFill="1" applyBorder="1" applyAlignment="1" applyProtection="1">
      <alignment horizontal="center" vertical="center"/>
    </xf>
    <xf numFmtId="1" fontId="14" fillId="9" borderId="38" xfId="0" applyNumberFormat="1" applyFont="1" applyFill="1" applyBorder="1" applyAlignment="1" applyProtection="1">
      <alignment horizontal="center" vertical="center"/>
      <protection hidden="1"/>
    </xf>
    <xf numFmtId="165" fontId="14" fillId="8" borderId="38" xfId="0" applyNumberFormat="1" applyFont="1" applyFill="1" applyBorder="1" applyAlignment="1" applyProtection="1">
      <alignment horizontal="center" vertical="center"/>
      <protection hidden="1"/>
    </xf>
    <xf numFmtId="164" fontId="14" fillId="10" borderId="38" xfId="0" applyNumberFormat="1" applyFont="1" applyFill="1" applyBorder="1" applyAlignment="1" applyProtection="1">
      <alignment horizontal="center" vertical="center"/>
      <protection locked="0"/>
    </xf>
    <xf numFmtId="1" fontId="14" fillId="10" borderId="38" xfId="0" applyNumberFormat="1" applyFont="1" applyFill="1" applyBorder="1" applyAlignment="1" applyProtection="1">
      <alignment horizontal="center" vertical="center"/>
      <protection locked="0"/>
    </xf>
    <xf numFmtId="165" fontId="14" fillId="10" borderId="38" xfId="0" applyNumberFormat="1" applyFont="1" applyFill="1" applyBorder="1" applyAlignment="1" applyProtection="1">
      <alignment horizontal="center" vertical="center"/>
      <protection locked="0"/>
    </xf>
    <xf numFmtId="0" fontId="5" fillId="0" borderId="61" xfId="0" applyFont="1" applyFill="1" applyBorder="1" applyAlignment="1" applyProtection="1">
      <alignment horizontal="center" vertical="center" shrinkToFit="1"/>
    </xf>
    <xf numFmtId="0" fontId="5" fillId="0" borderId="62" xfId="0" applyFont="1" applyFill="1" applyBorder="1" applyAlignment="1" applyProtection="1">
      <alignment horizontal="center" vertical="center" shrinkToFit="1"/>
    </xf>
    <xf numFmtId="0" fontId="5" fillId="11" borderId="42" xfId="0" applyFont="1" applyFill="1" applyBorder="1" applyAlignment="1" applyProtection="1">
      <alignment horizontal="center" vertical="center" shrinkToFit="1"/>
      <protection locked="0"/>
    </xf>
    <xf numFmtId="0" fontId="5" fillId="12" borderId="42" xfId="0" applyFont="1" applyFill="1" applyBorder="1" applyAlignment="1" applyProtection="1">
      <alignment horizontal="center" vertical="center" shrinkToFit="1"/>
      <protection locked="0"/>
    </xf>
    <xf numFmtId="0" fontId="5" fillId="13" borderId="54" xfId="0" applyFont="1" applyFill="1" applyBorder="1" applyAlignment="1" applyProtection="1">
      <alignment horizontal="center" vertical="center" shrinkToFit="1"/>
      <protection locked="0"/>
    </xf>
    <xf numFmtId="0" fontId="5" fillId="13" borderId="42" xfId="0" applyFont="1" applyFill="1" applyBorder="1" applyAlignment="1" applyProtection="1">
      <alignment horizontal="center" vertical="center" shrinkToFit="1"/>
      <protection locked="0"/>
    </xf>
    <xf numFmtId="0" fontId="5" fillId="14" borderId="42" xfId="0" applyFont="1" applyFill="1" applyBorder="1" applyAlignment="1" applyProtection="1">
      <alignment horizontal="center" vertical="center" shrinkToFit="1"/>
      <protection locked="0"/>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Normal" xfId="0" builtinId="0"/>
  </cellStyles>
  <dxfs count="0"/>
  <tableStyles count="0" defaultTableStyle="TableStyleMedium9" defaultPivotStyle="PivotStyleMedium7"/>
  <colors>
    <mruColors>
      <color rgb="FFFFFFB3"/>
      <color rgb="FFFFFFA7"/>
      <color rgb="FFFFFFC5"/>
      <color rgb="FFFFFFD1"/>
      <color rgb="FFFFFFDD"/>
      <color rgb="FFFFFFAF"/>
      <color rgb="FFFFFFC9"/>
      <color rgb="FFFFFF9B"/>
      <color rgb="FFFFFF79"/>
      <color rgb="FF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101138</xdr:colOff>
      <xdr:row>0</xdr:row>
      <xdr:rowOff>18280</xdr:rowOff>
    </xdr:from>
    <xdr:to>
      <xdr:col>0</xdr:col>
      <xdr:colOff>592185</xdr:colOff>
      <xdr:row>0</xdr:row>
      <xdr:rowOff>278245</xdr:rowOff>
    </xdr:to>
    <xdr:pic>
      <xdr:nvPicPr>
        <xdr:cNvPr id="13" name="Picture 12" descr="PCI Clear logo.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138" y="18280"/>
          <a:ext cx="491047" cy="25996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834985</xdr:colOff>
          <xdr:row>42</xdr:row>
          <xdr:rowOff>3101</xdr:rowOff>
        </xdr:from>
        <xdr:to>
          <xdr:col>8</xdr:col>
          <xdr:colOff>6187</xdr:colOff>
          <xdr:row>45</xdr:row>
          <xdr:rowOff>12626</xdr:rowOff>
        </xdr:to>
        <xdr:pic>
          <xdr:nvPicPr>
            <xdr:cNvPr id="22" name="Picture 21"/>
            <xdr:cNvPicPr>
              <a:picLocks noChangeAspect="1" noChangeArrowheads="1"/>
              <a:extLst>
                <a:ext uri="{84589F7E-364E-4C9E-8A38-B11213B215E9}">
                  <a14:cameraTool cellRange="$J$43:$T$45" spid="_x0000_s1056"/>
                </a:ext>
              </a:extLst>
            </xdr:cNvPicPr>
          </xdr:nvPicPr>
          <xdr:blipFill>
            <a:blip xmlns:r="http://schemas.openxmlformats.org/officeDocument/2006/relationships" r:embed="rId2"/>
            <a:srcRect/>
            <a:stretch>
              <a:fillRect/>
            </a:stretch>
          </xdr:blipFill>
          <xdr:spPr bwMode="auto">
            <a:xfrm>
              <a:off x="834985" y="8853929"/>
              <a:ext cx="5980958" cy="64040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771525</xdr:colOff>
      <xdr:row>42</xdr:row>
      <xdr:rowOff>180976</xdr:rowOff>
    </xdr:from>
    <xdr:to>
      <xdr:col>1</xdr:col>
      <xdr:colOff>276225</xdr:colOff>
      <xdr:row>43</xdr:row>
      <xdr:rowOff>209549</xdr:rowOff>
    </xdr:to>
    <xdr:sp macro="" textlink="">
      <xdr:nvSpPr>
        <xdr:cNvPr id="14" name="TextBox 13"/>
        <xdr:cNvSpPr txBox="1"/>
      </xdr:nvSpPr>
      <xdr:spPr>
        <a:xfrm>
          <a:off x="771525" y="9001126"/>
          <a:ext cx="352425" cy="23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1" i="0" baseline="0">
              <a:latin typeface="Arial" panose="020B0604020202020204" pitchFamily="34" charset="0"/>
            </a:rPr>
            <a:t>ICP</a:t>
          </a:r>
        </a:p>
      </xdr:txBody>
    </xdr:sp>
    <xdr:clientData/>
  </xdr:twoCellAnchor>
  <xdr:twoCellAnchor>
    <xdr:from>
      <xdr:col>7</xdr:col>
      <xdr:colOff>571500</xdr:colOff>
      <xdr:row>42</xdr:row>
      <xdr:rowOff>171451</xdr:rowOff>
    </xdr:from>
    <xdr:to>
      <xdr:col>8</xdr:col>
      <xdr:colOff>95250</xdr:colOff>
      <xdr:row>43</xdr:row>
      <xdr:rowOff>200024</xdr:rowOff>
    </xdr:to>
    <xdr:sp macro="" textlink="">
      <xdr:nvSpPr>
        <xdr:cNvPr id="17" name="TextBox 16"/>
        <xdr:cNvSpPr txBox="1"/>
      </xdr:nvSpPr>
      <xdr:spPr>
        <a:xfrm>
          <a:off x="6534150" y="8991601"/>
          <a:ext cx="371475" cy="23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1" i="0" baseline="0">
              <a:latin typeface="Arial" panose="020B0604020202020204" pitchFamily="34" charset="0"/>
            </a:rPr>
            <a:t>FCP</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enableFormatConditionsCalculation="0">
    <pageSetUpPr fitToPage="1"/>
  </sheetPr>
  <dimension ref="A1:V52"/>
  <sheetViews>
    <sheetView showGridLines="0" showRowColHeaders="0" tabSelected="1" showRuler="0" zoomScale="86" zoomScaleNormal="86" zoomScaleSheetLayoutView="100" zoomScalePageLayoutView="64" workbookViewId="0">
      <selection activeCell="B3" sqref="B3"/>
    </sheetView>
  </sheetViews>
  <sheetFormatPr defaultColWidth="11.125" defaultRowHeight="15.75"/>
  <cols>
    <col min="2" max="2" width="11.125" customWidth="1"/>
    <col min="5" max="5" width="11.5" customWidth="1"/>
    <col min="9" max="9" width="8.5" customWidth="1"/>
    <col min="10" max="11" width="7" customWidth="1"/>
    <col min="12" max="12" width="6.875" customWidth="1"/>
    <col min="13" max="15" width="7" customWidth="1"/>
    <col min="16" max="17" width="6.875" customWidth="1"/>
    <col min="18" max="20" width="7" customWidth="1"/>
    <col min="21" max="21" width="22.25" customWidth="1"/>
    <col min="22" max="22" width="22.875" customWidth="1"/>
  </cols>
  <sheetData>
    <row r="1" spans="1:15" ht="24" thickBot="1">
      <c r="A1" s="194" t="s">
        <v>34</v>
      </c>
      <c r="B1" s="195"/>
      <c r="C1" s="195"/>
      <c r="D1" s="195"/>
      <c r="E1" s="195"/>
      <c r="F1" s="195"/>
      <c r="G1" s="195"/>
      <c r="H1" s="196"/>
    </row>
    <row r="2" spans="1:15" ht="16.5" thickBot="1">
      <c r="A2" s="221" t="s">
        <v>63</v>
      </c>
      <c r="B2" s="223" t="s">
        <v>68</v>
      </c>
      <c r="C2" s="224"/>
      <c r="D2" s="221" t="s">
        <v>69</v>
      </c>
      <c r="E2" s="226"/>
      <c r="F2" s="222" t="s">
        <v>64</v>
      </c>
      <c r="G2" s="227"/>
      <c r="H2" s="225"/>
      <c r="I2" s="174"/>
    </row>
    <row r="3" spans="1:15" ht="17.100000000000001" customHeight="1">
      <c r="A3" s="124" t="s">
        <v>61</v>
      </c>
      <c r="B3" s="218">
        <v>9.1200000000000003E-2</v>
      </c>
      <c r="C3" s="219">
        <v>55</v>
      </c>
      <c r="D3" s="219">
        <v>650</v>
      </c>
      <c r="E3" s="220">
        <v>11.1</v>
      </c>
      <c r="F3" s="95" t="s">
        <v>1</v>
      </c>
      <c r="G3" s="167">
        <f>SUM(C6:C10)</f>
        <v>10400</v>
      </c>
      <c r="H3" s="219">
        <v>9800</v>
      </c>
      <c r="J3" s="2"/>
      <c r="K3" s="2"/>
      <c r="L3" s="2"/>
      <c r="M3" s="2"/>
      <c r="N3" s="2"/>
      <c r="O3" s="2"/>
    </row>
    <row r="4" spans="1:15" ht="17.100000000000001" customHeight="1" thickBot="1">
      <c r="A4" s="81" t="s">
        <v>62</v>
      </c>
      <c r="B4" s="82"/>
      <c r="C4" s="125" t="s">
        <v>95</v>
      </c>
      <c r="D4" s="165"/>
      <c r="E4" s="129" t="s">
        <v>40</v>
      </c>
      <c r="F4" s="17"/>
      <c r="G4" s="18" t="s">
        <v>2</v>
      </c>
      <c r="H4" s="19" t="s">
        <v>3</v>
      </c>
      <c r="I4" s="8"/>
      <c r="J4" s="8"/>
      <c r="K4" s="73"/>
      <c r="L4" s="2"/>
      <c r="M4" s="2"/>
      <c r="N4" s="2"/>
      <c r="O4" s="2"/>
    </row>
    <row r="5" spans="1:15" ht="17.100000000000001" customHeight="1" thickBot="1">
      <c r="A5" s="203" t="s">
        <v>79</v>
      </c>
      <c r="B5" s="204"/>
      <c r="C5" s="205"/>
      <c r="D5" s="220"/>
      <c r="E5" s="220">
        <v>10</v>
      </c>
      <c r="F5" s="84" t="s">
        <v>5</v>
      </c>
      <c r="G5" s="219">
        <v>6500</v>
      </c>
      <c r="H5" s="219">
        <v>6500</v>
      </c>
      <c r="I5" s="15"/>
      <c r="J5" s="2"/>
      <c r="K5" s="2"/>
      <c r="L5" s="16"/>
      <c r="M5" s="2"/>
      <c r="N5" s="2"/>
      <c r="O5" s="2"/>
    </row>
    <row r="6" spans="1:15" ht="17.100000000000001" customHeight="1" thickBot="1">
      <c r="A6" s="23" t="s">
        <v>0</v>
      </c>
      <c r="B6" s="218">
        <v>1.78E-2</v>
      </c>
      <c r="C6" s="219">
        <v>9700</v>
      </c>
      <c r="D6" s="166">
        <f>B6*C6</f>
        <v>172.66</v>
      </c>
      <c r="E6" s="129" t="s">
        <v>43</v>
      </c>
      <c r="F6" s="83" t="s">
        <v>29</v>
      </c>
      <c r="G6" s="22" t="s">
        <v>2</v>
      </c>
      <c r="H6" s="60" t="s">
        <v>3</v>
      </c>
      <c r="J6" s="4"/>
      <c r="K6" s="2"/>
      <c r="L6" s="2"/>
      <c r="M6" s="2"/>
      <c r="N6" s="2"/>
      <c r="O6" s="2"/>
    </row>
    <row r="7" spans="1:15" ht="17.100000000000001" customHeight="1" thickBot="1">
      <c r="A7" s="126"/>
      <c r="B7" s="26" t="s">
        <v>77</v>
      </c>
      <c r="C7" s="61"/>
      <c r="D7" s="127"/>
      <c r="E7" s="220">
        <v>2028</v>
      </c>
      <c r="F7" s="97" t="s">
        <v>49</v>
      </c>
      <c r="G7" s="97"/>
      <c r="H7" s="98"/>
      <c r="J7" s="5"/>
      <c r="K7" s="73"/>
      <c r="L7" s="2"/>
      <c r="M7" s="2"/>
      <c r="N7" s="2"/>
      <c r="O7" s="2"/>
    </row>
    <row r="8" spans="1:15" ht="17.100000000000001" customHeight="1">
      <c r="A8" s="23" t="s">
        <v>70</v>
      </c>
      <c r="B8" s="218"/>
      <c r="C8" s="219"/>
      <c r="D8" s="166">
        <f>B8*C8</f>
        <v>0</v>
      </c>
      <c r="E8" s="138" t="s">
        <v>44</v>
      </c>
      <c r="F8" s="97" t="s">
        <v>48</v>
      </c>
      <c r="G8" s="97"/>
      <c r="H8" s="99"/>
      <c r="J8" s="5"/>
      <c r="K8" s="73"/>
      <c r="L8" s="2"/>
      <c r="M8" s="2"/>
      <c r="N8" s="2"/>
      <c r="O8" s="2"/>
    </row>
    <row r="9" spans="1:15" ht="17.100000000000001" customHeight="1" thickBot="1">
      <c r="A9" s="136"/>
      <c r="B9" s="26" t="s">
        <v>75</v>
      </c>
      <c r="C9" s="61"/>
      <c r="D9" s="137"/>
      <c r="E9" s="130" t="s">
        <v>60</v>
      </c>
      <c r="F9" s="100" t="s">
        <v>50</v>
      </c>
      <c r="G9" s="97"/>
      <c r="H9" s="101"/>
      <c r="J9" s="5"/>
      <c r="K9" s="73"/>
      <c r="L9" s="2"/>
      <c r="M9" s="2"/>
      <c r="N9" s="2"/>
      <c r="O9" s="2"/>
    </row>
    <row r="10" spans="1:15" ht="17.100000000000001" customHeight="1">
      <c r="A10" s="23" t="s">
        <v>4</v>
      </c>
      <c r="B10" s="218">
        <v>6.1000000000000004E-3</v>
      </c>
      <c r="C10" s="219">
        <v>700</v>
      </c>
      <c r="D10" s="166">
        <f>B10*C10</f>
        <v>4.2700000000000005</v>
      </c>
      <c r="E10" s="152"/>
      <c r="F10" s="97"/>
      <c r="G10" s="97"/>
      <c r="H10" s="99"/>
      <c r="I10" s="6"/>
      <c r="J10" s="2"/>
      <c r="K10" s="87"/>
      <c r="L10" s="87"/>
      <c r="M10" s="73"/>
      <c r="N10" s="87"/>
      <c r="O10" s="2"/>
    </row>
    <row r="11" spans="1:15" ht="17.100000000000001" customHeight="1" thickBot="1">
      <c r="A11" s="24"/>
      <c r="B11" s="26" t="s">
        <v>78</v>
      </c>
      <c r="C11" s="61"/>
      <c r="D11" s="18"/>
      <c r="E11" s="153"/>
      <c r="F11" s="100"/>
      <c r="G11" s="97"/>
      <c r="H11" s="101"/>
      <c r="I11" s="1"/>
      <c r="J11" s="2"/>
      <c r="K11" s="206"/>
      <c r="L11" s="206"/>
      <c r="M11" s="206"/>
      <c r="N11" s="144"/>
      <c r="O11" s="2"/>
    </row>
    <row r="12" spans="1:15" ht="17.100000000000001" customHeight="1">
      <c r="A12" s="71" t="s">
        <v>36</v>
      </c>
      <c r="B12" s="104"/>
      <c r="C12" s="27"/>
      <c r="D12" s="214">
        <f>SUM(D6:D10)</f>
        <v>176.93</v>
      </c>
      <c r="E12" s="169">
        <f>B3</f>
        <v>9.1200000000000003E-2</v>
      </c>
      <c r="F12" s="93" t="s">
        <v>51</v>
      </c>
      <c r="G12" s="213">
        <f>D12/B3</f>
        <v>1940.0219298245613</v>
      </c>
      <c r="H12" s="105"/>
      <c r="I12" s="3"/>
      <c r="J12" s="2"/>
      <c r="K12" s="140"/>
      <c r="L12" s="140"/>
      <c r="M12" s="145"/>
      <c r="N12" s="146"/>
      <c r="O12" s="2"/>
    </row>
    <row r="13" spans="1:15" ht="17.100000000000001" customHeight="1" thickBot="1">
      <c r="A13" s="197" t="s">
        <v>26</v>
      </c>
      <c r="B13" s="198"/>
      <c r="C13" s="27"/>
      <c r="D13" s="106" t="s">
        <v>6</v>
      </c>
      <c r="E13" s="131" t="s">
        <v>53</v>
      </c>
      <c r="F13" s="94" t="s">
        <v>51</v>
      </c>
      <c r="G13" s="31" t="s">
        <v>37</v>
      </c>
      <c r="H13" s="32"/>
      <c r="J13" s="2"/>
      <c r="K13" s="74"/>
      <c r="L13" s="2"/>
      <c r="M13" s="2"/>
      <c r="N13" s="2"/>
      <c r="O13" s="2"/>
    </row>
    <row r="14" spans="1:15" ht="17.100000000000001" customHeight="1">
      <c r="A14" s="79" t="s">
        <v>25</v>
      </c>
      <c r="B14" s="218">
        <v>4.8899999999999999E-2</v>
      </c>
      <c r="C14" s="167">
        <f>G5</f>
        <v>6500</v>
      </c>
      <c r="D14" s="166">
        <f>B14*C14</f>
        <v>317.84999999999997</v>
      </c>
      <c r="E14" s="132" t="s">
        <v>30</v>
      </c>
      <c r="F14" s="107"/>
      <c r="G14" s="107"/>
      <c r="H14" s="108"/>
      <c r="J14" s="7"/>
      <c r="K14" s="73"/>
      <c r="L14" s="2"/>
      <c r="M14" s="2"/>
      <c r="N14" s="76"/>
      <c r="O14" s="2"/>
    </row>
    <row r="15" spans="1:15" ht="17.100000000000001" customHeight="1" thickBot="1">
      <c r="A15" s="78" t="s">
        <v>7</v>
      </c>
      <c r="B15" s="26" t="s">
        <v>54</v>
      </c>
      <c r="C15" s="28"/>
      <c r="D15" s="67"/>
      <c r="E15" s="133"/>
      <c r="F15" s="33"/>
      <c r="G15" s="34"/>
      <c r="H15" s="35"/>
      <c r="J15" s="8"/>
      <c r="K15" s="2"/>
      <c r="L15" s="2"/>
      <c r="M15" s="2"/>
      <c r="N15" s="2"/>
      <c r="O15" s="2"/>
    </row>
    <row r="16" spans="1:15" ht="17.100000000000001" customHeight="1" thickBot="1">
      <c r="A16" s="85" t="s">
        <v>8</v>
      </c>
      <c r="B16" s="218">
        <v>4.5900000000000003E-2</v>
      </c>
      <c r="C16" s="167">
        <f>G3-C20-G5</f>
        <v>3200</v>
      </c>
      <c r="D16" s="217">
        <f>B16*C16</f>
        <v>146.88000000000002</v>
      </c>
      <c r="E16" s="148" t="s">
        <v>73</v>
      </c>
      <c r="F16" s="20"/>
      <c r="G16" s="21"/>
      <c r="H16" s="30"/>
      <c r="J16" s="2"/>
      <c r="K16" s="87"/>
      <c r="L16" s="87"/>
      <c r="M16" s="73"/>
      <c r="N16" s="87"/>
      <c r="O16" s="2"/>
    </row>
    <row r="17" spans="1:22" ht="17.100000000000001" customHeight="1" thickBot="1">
      <c r="A17" s="78" t="s">
        <v>7</v>
      </c>
      <c r="B17" s="61" t="s">
        <v>55</v>
      </c>
      <c r="C17" s="29"/>
      <c r="D17" s="58"/>
      <c r="E17" s="217">
        <f>D16</f>
        <v>146.88000000000002</v>
      </c>
      <c r="F17" s="217">
        <f>D18</f>
        <v>0</v>
      </c>
      <c r="G17" s="217">
        <f>D20</f>
        <v>15.819999999999999</v>
      </c>
      <c r="H17" s="216">
        <f>SUM(E17:G17)</f>
        <v>162.70000000000002</v>
      </c>
      <c r="I17" s="1"/>
      <c r="J17" s="102"/>
      <c r="K17" s="139"/>
      <c r="L17" s="147"/>
      <c r="M17" s="139"/>
      <c r="N17" s="144"/>
      <c r="O17" s="2"/>
    </row>
    <row r="18" spans="1:22" ht="17.100000000000001" customHeight="1">
      <c r="A18" s="85" t="s">
        <v>71</v>
      </c>
      <c r="B18" s="218"/>
      <c r="C18" s="167">
        <f>C8</f>
        <v>0</v>
      </c>
      <c r="D18" s="217">
        <f>B18*C18</f>
        <v>0</v>
      </c>
      <c r="E18" s="207" t="s">
        <v>76</v>
      </c>
      <c r="F18" s="208"/>
      <c r="G18" s="208"/>
      <c r="H18" s="142" t="s">
        <v>72</v>
      </c>
      <c r="I18" s="1"/>
      <c r="J18" s="102"/>
      <c r="K18" s="140"/>
      <c r="L18" s="146"/>
      <c r="M18" s="145"/>
      <c r="N18" s="146"/>
      <c r="O18" s="2"/>
    </row>
    <row r="19" spans="1:22" ht="17.100000000000001" customHeight="1" thickBot="1">
      <c r="A19" s="78" t="s">
        <v>7</v>
      </c>
      <c r="B19" s="61" t="s">
        <v>55</v>
      </c>
      <c r="C19" s="29"/>
      <c r="D19" s="58"/>
      <c r="E19" s="134" t="s">
        <v>20</v>
      </c>
      <c r="F19" s="83" t="s">
        <v>74</v>
      </c>
      <c r="G19" s="83" t="s">
        <v>9</v>
      </c>
      <c r="H19" s="143" t="s">
        <v>24</v>
      </c>
      <c r="I19" s="1"/>
      <c r="J19" s="102"/>
      <c r="K19" s="2"/>
      <c r="L19" s="2"/>
      <c r="M19" s="2"/>
      <c r="N19" s="2"/>
      <c r="O19" s="2"/>
    </row>
    <row r="20" spans="1:22" ht="17.100000000000001" customHeight="1">
      <c r="A20" s="85" t="s">
        <v>9</v>
      </c>
      <c r="B20" s="218">
        <v>2.2599999999999999E-2</v>
      </c>
      <c r="C20" s="167">
        <f>C10</f>
        <v>700</v>
      </c>
      <c r="D20" s="217">
        <f>B20*C20</f>
        <v>15.819999999999999</v>
      </c>
      <c r="E20" s="152"/>
      <c r="F20" s="216">
        <f>H17</f>
        <v>162.70000000000002</v>
      </c>
      <c r="G20" s="169">
        <f>B3</f>
        <v>9.1200000000000003E-2</v>
      </c>
      <c r="H20" s="213">
        <f>F20/B3</f>
        <v>1783.9912280701756</v>
      </c>
      <c r="J20" s="2"/>
      <c r="K20" s="2"/>
      <c r="L20" s="2"/>
      <c r="M20" s="2"/>
      <c r="N20" s="2"/>
      <c r="O20" s="2"/>
    </row>
    <row r="21" spans="1:22" ht="17.100000000000001" customHeight="1" thickBot="1">
      <c r="A21" s="78" t="s">
        <v>7</v>
      </c>
      <c r="B21" s="27" t="s">
        <v>57</v>
      </c>
      <c r="C21" s="36"/>
      <c r="D21" s="27"/>
      <c r="E21" s="152"/>
      <c r="F21" s="154" t="s">
        <v>80</v>
      </c>
      <c r="G21" s="151"/>
      <c r="H21" s="149"/>
      <c r="J21" s="2"/>
      <c r="K21" s="2"/>
      <c r="L21" s="2"/>
      <c r="M21" s="2"/>
      <c r="N21" s="2"/>
      <c r="O21" s="2"/>
    </row>
    <row r="22" spans="1:22" ht="17.100000000000001" customHeight="1">
      <c r="A22" s="23" t="s">
        <v>33</v>
      </c>
      <c r="B22" s="218"/>
      <c r="C22" s="167">
        <f>G5</f>
        <v>6500</v>
      </c>
      <c r="D22" s="166">
        <f>B22*C22</f>
        <v>0</v>
      </c>
      <c r="E22" s="141"/>
      <c r="F22" s="150" t="s">
        <v>24</v>
      </c>
      <c r="G22" s="83" t="s">
        <v>31</v>
      </c>
      <c r="H22" s="143" t="s">
        <v>24</v>
      </c>
      <c r="J22" s="2"/>
      <c r="K22" s="2"/>
      <c r="L22" s="2"/>
      <c r="M22" s="2"/>
      <c r="N22" s="2"/>
      <c r="O22" s="2"/>
    </row>
    <row r="23" spans="1:22" ht="17.100000000000001" customHeight="1" thickBot="1">
      <c r="A23" s="25" t="s">
        <v>32</v>
      </c>
      <c r="B23" s="27" t="s">
        <v>58</v>
      </c>
      <c r="C23" s="28"/>
      <c r="D23" s="128"/>
      <c r="E23" s="135"/>
      <c r="F23" s="109"/>
      <c r="G23" s="109"/>
      <c r="H23" s="108"/>
      <c r="J23" s="2"/>
      <c r="K23" s="77"/>
      <c r="L23" s="206"/>
      <c r="M23" s="206"/>
      <c r="N23" s="206"/>
      <c r="O23" s="2"/>
    </row>
    <row r="24" spans="1:22" ht="17.100000000000001" customHeight="1">
      <c r="A24" s="86" t="s">
        <v>10</v>
      </c>
      <c r="B24" s="41" t="s">
        <v>41</v>
      </c>
      <c r="C24" s="42"/>
      <c r="D24" s="214">
        <f>SUM(D14:D22)</f>
        <v>480.55</v>
      </c>
      <c r="E24" s="169">
        <f>B3</f>
        <v>9.1200000000000003E-2</v>
      </c>
      <c r="F24" s="110" t="s">
        <v>27</v>
      </c>
      <c r="G24" s="213">
        <f>D24/B3</f>
        <v>5269.1885964912281</v>
      </c>
      <c r="H24" s="39"/>
      <c r="J24" s="75"/>
      <c r="K24" s="2"/>
      <c r="L24" s="2"/>
      <c r="M24" s="2"/>
      <c r="N24" s="2"/>
      <c r="O24" s="2"/>
    </row>
    <row r="25" spans="1:22" ht="17.100000000000001" customHeight="1">
      <c r="A25" s="199" t="s">
        <v>23</v>
      </c>
      <c r="B25" s="200"/>
      <c r="C25" s="200"/>
      <c r="D25" s="200"/>
      <c r="E25" s="155" t="s">
        <v>84</v>
      </c>
      <c r="F25" s="111" t="s">
        <v>27</v>
      </c>
      <c r="G25" s="58" t="s">
        <v>38</v>
      </c>
      <c r="H25" s="59"/>
      <c r="J25" s="2"/>
      <c r="K25" s="2"/>
      <c r="L25" s="2"/>
      <c r="M25" s="2"/>
      <c r="N25" s="2"/>
      <c r="O25" s="2"/>
      <c r="U25" t="s">
        <v>100</v>
      </c>
    </row>
    <row r="26" spans="1:22" ht="17.100000000000001" customHeight="1" thickBot="1">
      <c r="A26" s="24" t="s">
        <v>28</v>
      </c>
      <c r="B26" s="17"/>
      <c r="C26" s="17"/>
      <c r="D26" s="29"/>
      <c r="E26" s="132" t="s">
        <v>31</v>
      </c>
      <c r="F26" s="20"/>
      <c r="G26" s="58"/>
      <c r="H26" s="40"/>
      <c r="J26" s="2"/>
      <c r="K26" s="73"/>
      <c r="L26" s="2"/>
      <c r="M26" s="2"/>
      <c r="N26" s="2"/>
      <c r="O26" s="2"/>
    </row>
    <row r="27" spans="1:22" ht="17.100000000000001" customHeight="1" thickBot="1">
      <c r="A27" s="49" t="s">
        <v>46</v>
      </c>
      <c r="B27" s="112"/>
      <c r="C27" s="112"/>
      <c r="D27" s="215">
        <f>D12+D24</f>
        <v>657.48</v>
      </c>
      <c r="E27" s="201" t="s">
        <v>35</v>
      </c>
      <c r="F27" s="202"/>
      <c r="G27" s="213">
        <f>D27/B3</f>
        <v>7209.2105263157891</v>
      </c>
      <c r="H27" s="88" t="s">
        <v>45</v>
      </c>
      <c r="J27" s="2"/>
      <c r="K27" s="2"/>
      <c r="L27" s="2"/>
      <c r="M27" s="2"/>
      <c r="N27" s="2"/>
      <c r="O27" s="2"/>
    </row>
    <row r="28" spans="1:22" ht="14.1" customHeight="1" thickBot="1">
      <c r="A28" s="113"/>
      <c r="B28" s="114" t="s">
        <v>11</v>
      </c>
      <c r="C28" s="114"/>
      <c r="D28" s="115"/>
      <c r="E28" s="116"/>
      <c r="F28" s="114"/>
      <c r="G28" s="117"/>
      <c r="H28" s="118"/>
      <c r="J28" s="2"/>
      <c r="K28" s="2"/>
      <c r="L28" s="2"/>
      <c r="M28" s="2"/>
      <c r="N28" s="2"/>
      <c r="O28" s="2"/>
    </row>
    <row r="29" spans="1:22" ht="17.100000000000001" customHeight="1" thickBot="1">
      <c r="A29" s="43" t="s">
        <v>13</v>
      </c>
      <c r="B29" s="212">
        <v>460</v>
      </c>
      <c r="C29" s="21" t="s">
        <v>14</v>
      </c>
      <c r="D29" s="212">
        <v>775</v>
      </c>
      <c r="E29" s="21" t="s">
        <v>12</v>
      </c>
      <c r="F29" s="212">
        <v>22</v>
      </c>
      <c r="G29" s="89" t="s">
        <v>22</v>
      </c>
      <c r="H29" s="179"/>
      <c r="J29" s="2"/>
      <c r="K29" s="2"/>
      <c r="L29" s="2"/>
      <c r="M29" s="2"/>
      <c r="N29" s="4"/>
      <c r="O29" s="2"/>
    </row>
    <row r="30" spans="1:22" ht="17.100000000000001" customHeight="1">
      <c r="A30" s="49" t="s">
        <v>15</v>
      </c>
      <c r="B30" s="20"/>
      <c r="C30" s="167">
        <f>B29</f>
        <v>460</v>
      </c>
      <c r="D30" s="168">
        <v>5.1999999999999998E-2</v>
      </c>
      <c r="E30" s="167">
        <f>H3</f>
        <v>9800</v>
      </c>
      <c r="F30" s="166">
        <f>E3</f>
        <v>11.1</v>
      </c>
      <c r="G30" s="214">
        <f>V30</f>
        <v>12.1</v>
      </c>
      <c r="H30" s="55" t="s">
        <v>39</v>
      </c>
      <c r="J30" s="87"/>
      <c r="K30" s="2"/>
      <c r="L30" s="2"/>
      <c r="M30" s="2"/>
      <c r="N30" s="2"/>
      <c r="O30" s="2"/>
      <c r="U30" s="184">
        <f>(C30/D30/E30)+F30</f>
        <v>12.002668759811616</v>
      </c>
      <c r="V30" s="184">
        <f>ROUNDUP(U30,1)</f>
        <v>12.1</v>
      </c>
    </row>
    <row r="31" spans="1:22" ht="17.100000000000001" customHeight="1" thickBot="1">
      <c r="A31" s="45"/>
      <c r="B31" s="38" t="s">
        <v>11</v>
      </c>
      <c r="C31" s="26" t="s">
        <v>81</v>
      </c>
      <c r="D31" s="36"/>
      <c r="E31" s="36"/>
      <c r="F31" s="51"/>
      <c r="G31" s="37"/>
      <c r="H31" s="52" t="s">
        <v>21</v>
      </c>
      <c r="J31" s="2"/>
      <c r="K31" s="2"/>
      <c r="L31" s="2"/>
      <c r="M31" s="2"/>
      <c r="N31" s="2"/>
      <c r="O31" s="2"/>
    </row>
    <row r="32" spans="1:22" ht="17.100000000000001" customHeight="1">
      <c r="A32" s="50" t="s">
        <v>16</v>
      </c>
      <c r="B32" s="20"/>
      <c r="C32" s="109"/>
      <c r="D32" s="167">
        <f>B29</f>
        <v>460</v>
      </c>
      <c r="E32" s="167">
        <f>D3</f>
        <v>650</v>
      </c>
      <c r="F32" s="91" t="s">
        <v>47</v>
      </c>
      <c r="G32" s="213">
        <f>D32+E32</f>
        <v>1110</v>
      </c>
      <c r="H32" s="54" t="s">
        <v>66</v>
      </c>
      <c r="J32" s="9"/>
      <c r="K32" s="10"/>
      <c r="L32" s="90"/>
      <c r="M32" s="2"/>
      <c r="N32" s="2"/>
      <c r="O32" s="2"/>
      <c r="P32" s="2"/>
      <c r="Q32" s="2"/>
    </row>
    <row r="33" spans="1:20" ht="17.100000000000001" customHeight="1" thickBot="1">
      <c r="A33" s="45"/>
      <c r="B33" s="46"/>
      <c r="C33" s="107"/>
      <c r="D33" s="61" t="s">
        <v>82</v>
      </c>
      <c r="E33" s="58"/>
      <c r="F33" s="92"/>
      <c r="G33" s="17"/>
      <c r="H33" s="53"/>
      <c r="J33" s="87"/>
      <c r="K33" s="2"/>
      <c r="L33" s="2"/>
      <c r="M33" s="2"/>
      <c r="N33" s="2"/>
      <c r="O33" s="2"/>
      <c r="P33" s="2"/>
      <c r="Q33" s="2"/>
    </row>
    <row r="34" spans="1:20" ht="17.100000000000001" customHeight="1">
      <c r="A34" s="49" t="s">
        <v>17</v>
      </c>
      <c r="B34" s="20"/>
      <c r="C34" s="20"/>
      <c r="D34" s="167">
        <f>D3</f>
        <v>650</v>
      </c>
      <c r="E34" s="166">
        <f>G30</f>
        <v>12.1</v>
      </c>
      <c r="F34" s="166">
        <f>E3</f>
        <v>11.1</v>
      </c>
      <c r="G34" s="213">
        <f>D34*(E34/F34)</f>
        <v>708.5585585585585</v>
      </c>
      <c r="H34" s="68"/>
      <c r="J34" s="2"/>
      <c r="K34" s="2"/>
      <c r="L34" s="2"/>
      <c r="M34" s="2"/>
      <c r="N34" s="2"/>
      <c r="O34" s="2"/>
      <c r="P34" s="2"/>
      <c r="Q34" s="2"/>
    </row>
    <row r="35" spans="1:20" ht="17.100000000000001" customHeight="1" thickBot="1">
      <c r="A35" s="45"/>
      <c r="B35" s="46"/>
      <c r="C35" s="38"/>
      <c r="D35" s="28" t="s">
        <v>59</v>
      </c>
      <c r="E35" s="28"/>
      <c r="F35" s="47"/>
      <c r="G35" s="38"/>
      <c r="H35" s="48"/>
      <c r="J35" s="11"/>
      <c r="K35" s="12"/>
      <c r="L35" s="13"/>
      <c r="M35" s="4"/>
      <c r="N35" s="14"/>
      <c r="O35" s="14"/>
      <c r="P35" s="5"/>
      <c r="Q35" s="5"/>
    </row>
    <row r="36" spans="1:20" ht="17.100000000000001" customHeight="1">
      <c r="A36" s="80" t="s">
        <v>18</v>
      </c>
      <c r="B36" s="44"/>
      <c r="C36" s="167">
        <f>E7</f>
        <v>2028</v>
      </c>
      <c r="D36" s="103">
        <v>5.1999999999999998E-2</v>
      </c>
      <c r="E36" s="167">
        <f>H5</f>
        <v>6500</v>
      </c>
      <c r="F36" s="166">
        <f>E5</f>
        <v>10</v>
      </c>
      <c r="G36" s="214">
        <f>(C36/D36/E36)+F36</f>
        <v>16</v>
      </c>
      <c r="H36" s="119"/>
      <c r="J36" s="2"/>
      <c r="K36" s="2"/>
      <c r="L36" s="2"/>
      <c r="M36" s="2"/>
      <c r="N36" s="2"/>
      <c r="O36" s="2"/>
      <c r="P36" s="2"/>
      <c r="Q36" s="2"/>
    </row>
    <row r="37" spans="1:20" ht="17.100000000000001" customHeight="1" thickBot="1">
      <c r="A37" s="191" t="s">
        <v>83</v>
      </c>
      <c r="B37" s="192"/>
      <c r="C37" s="192"/>
      <c r="D37" s="192"/>
      <c r="E37" s="192"/>
      <c r="F37" s="192"/>
      <c r="G37" s="192"/>
      <c r="H37" s="193"/>
      <c r="J37" s="70"/>
      <c r="K37" s="10"/>
      <c r="L37" s="2"/>
      <c r="M37" s="2"/>
      <c r="N37" s="2"/>
      <c r="O37" s="2"/>
      <c r="P37" s="2"/>
      <c r="Q37" s="2"/>
    </row>
    <row r="38" spans="1:20" ht="17.100000000000001" customHeight="1">
      <c r="A38" s="189" t="s">
        <v>19</v>
      </c>
      <c r="B38" s="190"/>
      <c r="C38" s="166">
        <f>G36</f>
        <v>16</v>
      </c>
      <c r="D38" s="166">
        <f>E3</f>
        <v>11.1</v>
      </c>
      <c r="E38" s="120">
        <v>5.1999999999999998E-2</v>
      </c>
      <c r="F38" s="167">
        <f>H5</f>
        <v>6500</v>
      </c>
      <c r="G38" s="213">
        <f>(C38-D38)*E38*F38</f>
        <v>1656.2000000000003</v>
      </c>
      <c r="H38" s="69"/>
      <c r="J38" s="2" t="s">
        <v>99</v>
      </c>
      <c r="K38" s="2"/>
      <c r="L38" s="2"/>
      <c r="M38" s="2"/>
      <c r="N38" s="2"/>
      <c r="O38" s="2"/>
      <c r="P38" s="2"/>
      <c r="Q38" s="2"/>
    </row>
    <row r="39" spans="1:20" ht="17.100000000000001" customHeight="1" thickBot="1">
      <c r="A39" s="209" t="s">
        <v>65</v>
      </c>
      <c r="B39" s="210"/>
      <c r="C39" s="210"/>
      <c r="D39" s="210"/>
      <c r="E39" s="210"/>
      <c r="F39" s="210"/>
      <c r="G39" s="210"/>
      <c r="H39" s="211"/>
      <c r="J39" s="2"/>
      <c r="K39" s="2"/>
      <c r="L39" s="96"/>
      <c r="M39" s="2"/>
      <c r="N39" s="2"/>
      <c r="O39" s="72"/>
      <c r="P39" s="2"/>
      <c r="Q39" s="2"/>
    </row>
    <row r="40" spans="1:20" ht="17.100000000000001" customHeight="1">
      <c r="A40" s="189" t="s">
        <v>52</v>
      </c>
      <c r="B40" s="190"/>
      <c r="C40" s="166">
        <f>G36</f>
        <v>16</v>
      </c>
      <c r="D40" s="166">
        <f>G30</f>
        <v>12.1</v>
      </c>
      <c r="E40" s="120">
        <v>5.1999999999999998E-2</v>
      </c>
      <c r="F40" s="167">
        <f>H5</f>
        <v>6500</v>
      </c>
      <c r="G40" s="213">
        <f>(C40-D40)*E40*F40</f>
        <v>1318.2</v>
      </c>
      <c r="H40" s="69"/>
      <c r="J40" s="13"/>
      <c r="K40" s="4"/>
      <c r="L40" s="14"/>
      <c r="M40" s="14"/>
      <c r="N40" s="5"/>
      <c r="O40" s="2"/>
      <c r="P40" s="2"/>
      <c r="Q40" s="2"/>
    </row>
    <row r="41" spans="1:20" ht="17.100000000000001" customHeight="1" thickBot="1">
      <c r="A41" s="186" t="s">
        <v>85</v>
      </c>
      <c r="B41" s="187"/>
      <c r="C41" s="187"/>
      <c r="D41" s="187"/>
      <c r="E41" s="187"/>
      <c r="F41" s="187"/>
      <c r="G41" s="187"/>
      <c r="H41" s="188"/>
      <c r="J41" s="2"/>
    </row>
    <row r="42" spans="1:20" ht="13.5" customHeight="1" thickBot="1">
      <c r="A42" s="62"/>
      <c r="B42" s="63"/>
      <c r="C42" s="64" t="s">
        <v>56</v>
      </c>
      <c r="D42" s="65"/>
      <c r="E42" s="65"/>
      <c r="F42" s="65"/>
      <c r="G42" s="63"/>
      <c r="H42" s="66"/>
    </row>
    <row r="43" spans="1:20" ht="17.100000000000001" customHeight="1">
      <c r="A43" s="180" t="s">
        <v>42</v>
      </c>
      <c r="B43" s="182"/>
      <c r="C43" s="175"/>
      <c r="D43" s="175"/>
      <c r="E43" s="175"/>
      <c r="F43" s="175"/>
      <c r="G43" s="175"/>
      <c r="H43" s="177" t="s">
        <v>97</v>
      </c>
      <c r="J43" s="171">
        <v>0</v>
      </c>
      <c r="K43" s="172">
        <f>(T43/10)</f>
        <v>194.00219298245614</v>
      </c>
      <c r="L43" s="172">
        <f>K43+K43</f>
        <v>388.00438596491227</v>
      </c>
      <c r="M43" s="172">
        <f>L43+K43</f>
        <v>582.00657894736844</v>
      </c>
      <c r="N43" s="172">
        <f>M43+K43</f>
        <v>776.00877192982455</v>
      </c>
      <c r="O43" s="172">
        <f>N43+K43</f>
        <v>970.01096491228066</v>
      </c>
      <c r="P43" s="172">
        <f>O43+K43</f>
        <v>1164.0131578947369</v>
      </c>
      <c r="Q43" s="172">
        <f>P43+K43</f>
        <v>1358.015350877193</v>
      </c>
      <c r="R43" s="172">
        <f>Q43+K43</f>
        <v>1552.0175438596491</v>
      </c>
      <c r="S43" s="172">
        <f>R43+K43</f>
        <v>1746.0197368421052</v>
      </c>
      <c r="T43" s="172">
        <f>G12</f>
        <v>1940.0219298245613</v>
      </c>
    </row>
    <row r="44" spans="1:20" ht="17.100000000000001" customHeight="1">
      <c r="A44" s="181" t="s">
        <v>67</v>
      </c>
      <c r="B44" s="183"/>
      <c r="C44" s="173"/>
      <c r="D44" s="173"/>
      <c r="E44" s="173"/>
      <c r="F44" s="173"/>
      <c r="G44" s="173"/>
      <c r="H44" s="178" t="s">
        <v>96</v>
      </c>
      <c r="J44" s="170">
        <f>G32</f>
        <v>1110</v>
      </c>
      <c r="K44" s="172">
        <f>(J44-((J44-T44)/10))</f>
        <v>1069.8558558558559</v>
      </c>
      <c r="L44" s="172">
        <f>(K44-((J44-T44)/10))</f>
        <v>1029.7117117117118</v>
      </c>
      <c r="M44" s="172">
        <f>(L44-((J44-T44)/10))</f>
        <v>989.56756756756772</v>
      </c>
      <c r="N44" s="172">
        <f>(M44-((J44-T44)/10))</f>
        <v>949.42342342342363</v>
      </c>
      <c r="O44" s="172">
        <f>(N44-((J44-T44)/10))</f>
        <v>909.27927927927954</v>
      </c>
      <c r="P44" s="172">
        <f>(O44-((J44-T44)/10))</f>
        <v>869.13513513513544</v>
      </c>
      <c r="Q44" s="172">
        <f>(P44-((J44-T44)/10))</f>
        <v>828.99099099099135</v>
      </c>
      <c r="R44" s="172">
        <f>(Q44-((J44-T44)/10))</f>
        <v>788.84684684684726</v>
      </c>
      <c r="S44" s="172">
        <f>(R44-((J44-T44)/10))</f>
        <v>748.70270270270316</v>
      </c>
      <c r="T44" s="172">
        <f>G34</f>
        <v>708.5585585585585</v>
      </c>
    </row>
    <row r="45" spans="1:20" ht="17.100000000000001" customHeight="1">
      <c r="A45" s="185" t="s">
        <v>98</v>
      </c>
      <c r="B45" s="183"/>
      <c r="C45" s="164"/>
      <c r="D45" s="164"/>
      <c r="E45" s="164"/>
      <c r="F45" s="164"/>
      <c r="G45" s="164"/>
      <c r="H45" s="176"/>
      <c r="J45" s="170">
        <v>0</v>
      </c>
      <c r="K45" s="172">
        <f>K43*B3</f>
        <v>17.693000000000001</v>
      </c>
      <c r="L45" s="172">
        <f>L43*B3</f>
        <v>35.386000000000003</v>
      </c>
      <c r="M45" s="172">
        <f>M43*B3</f>
        <v>53.079000000000001</v>
      </c>
      <c r="N45" s="172">
        <f>N43*B3</f>
        <v>70.772000000000006</v>
      </c>
      <c r="O45" s="172">
        <f>O43*B3</f>
        <v>88.465000000000003</v>
      </c>
      <c r="P45" s="172">
        <f>P43*B3</f>
        <v>106.158</v>
      </c>
      <c r="Q45" s="172">
        <f>Q43*B3</f>
        <v>123.851</v>
      </c>
      <c r="R45" s="172">
        <f>R43*B3</f>
        <v>141.54400000000001</v>
      </c>
      <c r="S45" s="172">
        <f>S43*B3</f>
        <v>159.23699999999999</v>
      </c>
      <c r="T45" s="170">
        <f>D12</f>
        <v>176.93</v>
      </c>
    </row>
    <row r="46" spans="1:20" ht="17.100000000000001" customHeight="1" thickBot="1">
      <c r="A46" s="56" t="s">
        <v>86</v>
      </c>
      <c r="B46" s="57"/>
      <c r="C46" s="121"/>
      <c r="D46" s="121"/>
      <c r="E46" s="57"/>
      <c r="F46" s="122"/>
      <c r="G46" s="122"/>
      <c r="H46" s="123"/>
      <c r="K46" s="1"/>
      <c r="L46" s="1"/>
      <c r="M46" s="1"/>
    </row>
    <row r="47" spans="1:20">
      <c r="K47" s="1"/>
      <c r="L47" s="1"/>
      <c r="M47" s="1"/>
    </row>
    <row r="48" spans="1:20">
      <c r="D48" s="173"/>
      <c r="K48" s="1"/>
      <c r="L48" s="1"/>
      <c r="M48" s="1"/>
    </row>
    <row r="49" spans="5:13">
      <c r="K49" s="1"/>
      <c r="L49" s="1"/>
      <c r="M49" s="1"/>
    </row>
    <row r="50" spans="5:13">
      <c r="L50" s="1"/>
    </row>
    <row r="51" spans="5:13">
      <c r="E51" s="6"/>
      <c r="L51" s="1"/>
    </row>
    <row r="52" spans="5:13">
      <c r="E52" s="1"/>
      <c r="L52" s="1"/>
    </row>
  </sheetData>
  <sheetProtection password="DE08" sheet="1" objects="1" scenarios="1" selectLockedCells="1"/>
  <mergeCells count="13">
    <mergeCell ref="K11:M11"/>
    <mergeCell ref="A38:B38"/>
    <mergeCell ref="L23:N23"/>
    <mergeCell ref="E18:G18"/>
    <mergeCell ref="A39:H39"/>
    <mergeCell ref="A41:H41"/>
    <mergeCell ref="A40:B40"/>
    <mergeCell ref="A37:H37"/>
    <mergeCell ref="A1:H1"/>
    <mergeCell ref="A13:B13"/>
    <mergeCell ref="A25:D25"/>
    <mergeCell ref="E27:F27"/>
    <mergeCell ref="A5:C5"/>
  </mergeCells>
  <phoneticPr fontId="12" type="noConversion"/>
  <printOptions horizontalCentered="1" verticalCentered="1"/>
  <pageMargins left="0.25" right="0.25" top="0.75" bottom="0.75" header="0.3" footer="0.3"/>
  <pageSetup scale="88" orientation="portrait" r:id="rId1"/>
  <drawing r:id="rId2"/>
  <legacyDrawing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F10"/>
  <sheetViews>
    <sheetView showGridLines="0" workbookViewId="0">
      <selection activeCell="F17" sqref="F17"/>
    </sheetView>
  </sheetViews>
  <sheetFormatPr defaultRowHeight="15.75"/>
  <cols>
    <col min="1" max="1" width="1" customWidth="1"/>
    <col min="2" max="2" width="56.375" customWidth="1"/>
    <col min="3" max="3" width="1.375" customWidth="1"/>
    <col min="4" max="4" width="4.875" customWidth="1"/>
    <col min="5" max="6" width="14" customWidth="1"/>
  </cols>
  <sheetData>
    <row r="1" spans="2:6">
      <c r="B1" s="156" t="s">
        <v>87</v>
      </c>
      <c r="C1" s="156"/>
      <c r="D1" s="160"/>
      <c r="E1" s="160"/>
      <c r="F1" s="160"/>
    </row>
    <row r="2" spans="2:6">
      <c r="B2" s="156" t="s">
        <v>88</v>
      </c>
      <c r="C2" s="156"/>
      <c r="D2" s="160"/>
      <c r="E2" s="160"/>
      <c r="F2" s="160"/>
    </row>
    <row r="3" spans="2:6">
      <c r="B3" s="157"/>
      <c r="C3" s="157"/>
      <c r="D3" s="161"/>
      <c r="E3" s="161"/>
      <c r="F3" s="161"/>
    </row>
    <row r="4" spans="2:6" ht="63">
      <c r="B4" s="157" t="s">
        <v>89</v>
      </c>
      <c r="C4" s="157"/>
      <c r="D4" s="161"/>
      <c r="E4" s="161"/>
      <c r="F4" s="161"/>
    </row>
    <row r="5" spans="2:6">
      <c r="B5" s="157"/>
      <c r="C5" s="157"/>
      <c r="D5" s="161"/>
      <c r="E5" s="161"/>
      <c r="F5" s="161"/>
    </row>
    <row r="6" spans="2:6" ht="31.5">
      <c r="B6" s="156" t="s">
        <v>90</v>
      </c>
      <c r="C6" s="156"/>
      <c r="D6" s="160"/>
      <c r="E6" s="160" t="s">
        <v>91</v>
      </c>
      <c r="F6" s="160" t="s">
        <v>92</v>
      </c>
    </row>
    <row r="7" spans="2:6" ht="16.5" thickBot="1">
      <c r="B7" s="157"/>
      <c r="C7" s="157"/>
      <c r="D7" s="161"/>
      <c r="E7" s="161"/>
      <c r="F7" s="161"/>
    </row>
    <row r="8" spans="2:6" ht="48" thickBot="1">
      <c r="B8" s="158" t="s">
        <v>93</v>
      </c>
      <c r="C8" s="159"/>
      <c r="D8" s="162"/>
      <c r="E8" s="162">
        <v>1</v>
      </c>
      <c r="F8" s="163" t="s">
        <v>94</v>
      </c>
    </row>
    <row r="9" spans="2:6">
      <c r="B9" s="157"/>
      <c r="C9" s="157"/>
      <c r="D9" s="161"/>
      <c r="E9" s="161"/>
      <c r="F9" s="161"/>
    </row>
    <row r="10" spans="2:6">
      <c r="B10" s="157"/>
      <c r="C10" s="157"/>
      <c r="D10" s="161"/>
      <c r="E10" s="161"/>
      <c r="F10" s="16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Compatibility Report</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Frank Klepper</cp:lastModifiedBy>
  <cp:lastPrinted>2016-10-28T20:51:12Z</cp:lastPrinted>
  <dcterms:created xsi:type="dcterms:W3CDTF">2016-05-02T12:20:01Z</dcterms:created>
  <dcterms:modified xsi:type="dcterms:W3CDTF">2016-10-29T04:10:47Z</dcterms:modified>
</cp:coreProperties>
</file>