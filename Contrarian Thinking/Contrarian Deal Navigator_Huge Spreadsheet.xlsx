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mattr\OneDrive\Desktop\Contrarian Thinking\"/>
    </mc:Choice>
  </mc:AlternateContent>
  <xr:revisionPtr revIDLastSave="0" documentId="8_{CBAFD418-6E5E-4BCC-9764-E3BB7E67D717}" xr6:coauthVersionLast="47" xr6:coauthVersionMax="47" xr10:uidLastSave="{00000000-0000-0000-0000-000000000000}"/>
  <bookViews>
    <workbookView xWindow="-28920" yWindow="-120" windowWidth="29040" windowHeight="15720" activeTab="5" xr2:uid="{00000000-000D-0000-FFFF-FFFF00000000}"/>
  </bookViews>
  <sheets>
    <sheet name="INSTRUCTIONS" sheetId="1" r:id="rId1"/>
    <sheet name="Step 1 Deal Box" sheetId="2" r:id="rId2"/>
    <sheet name="Step 2 SDE Calculation" sheetId="3" r:id="rId3"/>
    <sheet name="Step 3 Deal Calculator" sheetId="4" r:id="rId4"/>
    <sheet name="Step 4 Offer Checklist" sheetId="5" r:id="rId5"/>
    <sheet name="Step 5 Due Diligence Checklist" sheetId="6" r:id="rId6"/>
    <sheet name="Step 6 Contrarian Value Markers" sheetId="7" r:id="rId7"/>
    <sheet name="Step 7 Closing Checklist" sheetId="8" r:id="rId8"/>
    <sheet name="Step 8 Day 0 Checklist" sheetId="9" r:id="rId9"/>
    <sheet name="BONUS Cashflow Tracker (Weekly)" sheetId="10" r:id="rId10"/>
    <sheet name="BONUS Cashflow Tracker (Monthly" sheetId="11" r:id="rId11"/>
    <sheet name="BONUS Working Capital Needs" sheetId="12" r:id="rId12"/>
  </sheets>
  <definedNames>
    <definedName name="_xlnm._FilterDatabase" localSheetId="4" hidden="1">'Step 4 Offer Checklist'!$A$4:$F$31</definedName>
    <definedName name="_xlnm._FilterDatabase" localSheetId="5" hidden="1">'Step 5 Due Diligence Checklist'!$A$4:$E$67</definedName>
    <definedName name="_xlnm._FilterDatabase" localSheetId="7" hidden="1">'Step 7 Closing Checklist'!$A$4:$F$51</definedName>
    <definedName name="_xlnm._FilterDatabase" localSheetId="8" hidden="1">'Step 8 Day 0 Checklist'!$A$4:$F$50</definedName>
    <definedName name="Cash_beginning" localSheetId="10">'BONUS Cashflow Tracker (Monthly'!$C$7</definedName>
    <definedName name="Cash_minimum" localSheetId="10">'BONUS Cashflow Tracker (Monthly'!$C$4</definedName>
    <definedName name="Company_name" localSheetId="10">'BONUS Cashflow Tracker (Monthly'!$B$2</definedName>
    <definedName name="Start_date" localSheetId="10">'BONUS Cashflow Tracker (Monthly'!$C$3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7" i="12" l="1"/>
  <c r="A36" i="12"/>
  <c r="A35" i="12"/>
  <c r="M32" i="12"/>
  <c r="N32" i="12" s="1"/>
  <c r="M31" i="12"/>
  <c r="L31" i="12"/>
  <c r="N31" i="12" s="1"/>
  <c r="M30" i="12"/>
  <c r="L30" i="12"/>
  <c r="K30" i="12"/>
  <c r="N30" i="12" s="1"/>
  <c r="L29" i="12"/>
  <c r="K29" i="12"/>
  <c r="J29" i="12"/>
  <c r="N29" i="12" s="1"/>
  <c r="K28" i="12"/>
  <c r="J28" i="12"/>
  <c r="I28" i="12"/>
  <c r="N28" i="12" s="1"/>
  <c r="J27" i="12"/>
  <c r="I27" i="12"/>
  <c r="H27" i="12"/>
  <c r="N27" i="12" s="1"/>
  <c r="I26" i="12"/>
  <c r="I13" i="12" s="1"/>
  <c r="H26" i="12"/>
  <c r="G26" i="12"/>
  <c r="N26" i="12" s="1"/>
  <c r="N25" i="12"/>
  <c r="H25" i="12"/>
  <c r="G25" i="12"/>
  <c r="F25" i="12"/>
  <c r="G24" i="12"/>
  <c r="F24" i="12"/>
  <c r="E24" i="12"/>
  <c r="N24" i="12" s="1"/>
  <c r="F23" i="12"/>
  <c r="E23" i="12"/>
  <c r="N23" i="12" s="1"/>
  <c r="D23" i="12"/>
  <c r="E22" i="12"/>
  <c r="E13" i="12" s="1"/>
  <c r="D22" i="12"/>
  <c r="C22" i="12"/>
  <c r="N22" i="12" s="1"/>
  <c r="N21" i="12"/>
  <c r="D21" i="12"/>
  <c r="C21" i="12"/>
  <c r="B21" i="12"/>
  <c r="B15" i="12"/>
  <c r="D14" i="12"/>
  <c r="C14" i="12"/>
  <c r="B14" i="12"/>
  <c r="M13" i="12"/>
  <c r="L13" i="12"/>
  <c r="K13" i="12"/>
  <c r="J13" i="12"/>
  <c r="H13" i="12"/>
  <c r="G13" i="12"/>
  <c r="F13" i="12"/>
  <c r="D13" i="12"/>
  <c r="C13" i="12"/>
  <c r="B13" i="12"/>
  <c r="B10" i="12"/>
  <c r="B16" i="12" s="1"/>
  <c r="C10" i="12" s="1"/>
  <c r="C16" i="12" s="1"/>
  <c r="D10" i="12" s="1"/>
  <c r="D16" i="12" s="1"/>
  <c r="E10" i="12" s="1"/>
  <c r="C9" i="12"/>
  <c r="D9" i="12" s="1"/>
  <c r="B9" i="12"/>
  <c r="A21" i="12" s="1"/>
  <c r="P62" i="11"/>
  <c r="P61" i="11"/>
  <c r="P60" i="11"/>
  <c r="P59" i="11"/>
  <c r="P58" i="11"/>
  <c r="P57" i="11"/>
  <c r="O52" i="11"/>
  <c r="N52" i="11"/>
  <c r="M52" i="11"/>
  <c r="L52" i="11"/>
  <c r="K52" i="11"/>
  <c r="J52" i="11"/>
  <c r="I52" i="11"/>
  <c r="H52" i="11"/>
  <c r="G52" i="11"/>
  <c r="F52" i="11"/>
  <c r="E52" i="11"/>
  <c r="D52" i="11"/>
  <c r="P51" i="11"/>
  <c r="P50" i="11"/>
  <c r="P49" i="11"/>
  <c r="P48" i="11"/>
  <c r="P52" i="11" s="1"/>
  <c r="P47" i="11"/>
  <c r="O45" i="11"/>
  <c r="O53" i="11" s="1"/>
  <c r="N45" i="11"/>
  <c r="N53" i="11" s="1"/>
  <c r="M45" i="11"/>
  <c r="M53" i="11" s="1"/>
  <c r="L45" i="11"/>
  <c r="L53" i="11" s="1"/>
  <c r="K45" i="11"/>
  <c r="K53" i="11" s="1"/>
  <c r="J45" i="11"/>
  <c r="J53" i="11" s="1"/>
  <c r="I45" i="11"/>
  <c r="I53" i="11" s="1"/>
  <c r="H45" i="11"/>
  <c r="H53" i="11" s="1"/>
  <c r="G45" i="11"/>
  <c r="G53" i="11" s="1"/>
  <c r="F45" i="11"/>
  <c r="F53" i="11" s="1"/>
  <c r="E45" i="11"/>
  <c r="E53" i="11" s="1"/>
  <c r="D45" i="11"/>
  <c r="D53" i="11" s="1"/>
  <c r="P44" i="11"/>
  <c r="P43" i="11"/>
  <c r="P42" i="11"/>
  <c r="P41" i="11"/>
  <c r="P40" i="11"/>
  <c r="P39" i="11"/>
  <c r="P38" i="11"/>
  <c r="P37" i="11"/>
  <c r="P36" i="11"/>
  <c r="P35" i="11"/>
  <c r="P34" i="11"/>
  <c r="P33" i="11"/>
  <c r="P32" i="11"/>
  <c r="P31" i="11"/>
  <c r="P30" i="11"/>
  <c r="P29" i="11"/>
  <c r="P28" i="11"/>
  <c r="P27" i="11"/>
  <c r="P26" i="11"/>
  <c r="P25" i="11"/>
  <c r="P45" i="11" s="1"/>
  <c r="P24" i="11"/>
  <c r="P23" i="11"/>
  <c r="P22" i="11"/>
  <c r="P21" i="11"/>
  <c r="P20" i="11"/>
  <c r="O19" i="11"/>
  <c r="O56" i="11" s="1"/>
  <c r="N19" i="11"/>
  <c r="N56" i="11" s="1"/>
  <c r="M19" i="11"/>
  <c r="M56" i="11" s="1"/>
  <c r="I19" i="11"/>
  <c r="I56" i="11" s="1"/>
  <c r="G19" i="11"/>
  <c r="G56" i="11" s="1"/>
  <c r="F19" i="11"/>
  <c r="F56" i="11" s="1"/>
  <c r="E19" i="11"/>
  <c r="E56" i="11" s="1"/>
  <c r="C17" i="11"/>
  <c r="C54" i="11" s="1"/>
  <c r="D7" i="11" s="1"/>
  <c r="O16" i="11"/>
  <c r="N16" i="11"/>
  <c r="M16" i="11"/>
  <c r="L16" i="11"/>
  <c r="K16" i="11"/>
  <c r="J16" i="11"/>
  <c r="I16" i="11"/>
  <c r="H16" i="11"/>
  <c r="P16" i="11" s="1"/>
  <c r="G16" i="11"/>
  <c r="F16" i="11"/>
  <c r="E16" i="11"/>
  <c r="D16" i="11"/>
  <c r="P15" i="11"/>
  <c r="P14" i="11"/>
  <c r="P13" i="11"/>
  <c r="P12" i="11"/>
  <c r="P11" i="11"/>
  <c r="P10" i="11"/>
  <c r="O9" i="11"/>
  <c r="N9" i="11"/>
  <c r="M9" i="11"/>
  <c r="L9" i="11"/>
  <c r="L19" i="11" s="1"/>
  <c r="L56" i="11" s="1"/>
  <c r="K9" i="11"/>
  <c r="K19" i="11" s="1"/>
  <c r="K56" i="11" s="1"/>
  <c r="J9" i="11"/>
  <c r="J19" i="11" s="1"/>
  <c r="J56" i="11" s="1"/>
  <c r="I9" i="11"/>
  <c r="H9" i="11"/>
  <c r="H19" i="11" s="1"/>
  <c r="H56" i="11" s="1"/>
  <c r="G9" i="11"/>
  <c r="F9" i="11"/>
  <c r="E9" i="11"/>
  <c r="D9" i="11"/>
  <c r="D19" i="11" s="1"/>
  <c r="D56" i="11" s="1"/>
  <c r="O4" i="11"/>
  <c r="K4" i="11"/>
  <c r="G4" i="11"/>
  <c r="C4" i="11"/>
  <c r="I4" i="11" s="1"/>
  <c r="L52" i="10"/>
  <c r="H52" i="10"/>
  <c r="D52" i="10"/>
  <c r="O51" i="10"/>
  <c r="N51" i="10"/>
  <c r="M51" i="10"/>
  <c r="L51" i="10"/>
  <c r="K51" i="10"/>
  <c r="J51" i="10"/>
  <c r="I51" i="10"/>
  <c r="H51" i="10"/>
  <c r="G51" i="10"/>
  <c r="F51" i="10"/>
  <c r="E51" i="10"/>
  <c r="D51" i="10"/>
  <c r="C51" i="10"/>
  <c r="O44" i="10"/>
  <c r="O52" i="10" s="1"/>
  <c r="N44" i="10"/>
  <c r="N52" i="10" s="1"/>
  <c r="M44" i="10"/>
  <c r="M52" i="10" s="1"/>
  <c r="L44" i="10"/>
  <c r="K44" i="10"/>
  <c r="K52" i="10" s="1"/>
  <c r="J44" i="10"/>
  <c r="J52" i="10" s="1"/>
  <c r="I44" i="10"/>
  <c r="I52" i="10" s="1"/>
  <c r="H44" i="10"/>
  <c r="G44" i="10"/>
  <c r="G52" i="10" s="1"/>
  <c r="F44" i="10"/>
  <c r="F52" i="10" s="1"/>
  <c r="E44" i="10"/>
  <c r="E52" i="10" s="1"/>
  <c r="D44" i="10"/>
  <c r="C44" i="10"/>
  <c r="C52" i="10" s="1"/>
  <c r="C16" i="10"/>
  <c r="C53" i="10" s="1"/>
  <c r="D7" i="10" s="1"/>
  <c r="D16" i="10" s="1"/>
  <c r="D53" i="10" s="1"/>
  <c r="E7" i="10" s="1"/>
  <c r="E16" i="10" s="1"/>
  <c r="E53" i="10" s="1"/>
  <c r="F7" i="10" s="1"/>
  <c r="F16" i="10" s="1"/>
  <c r="F53" i="10" s="1"/>
  <c r="G7" i="10" s="1"/>
  <c r="G16" i="10" s="1"/>
  <c r="O15" i="10"/>
  <c r="N15" i="10"/>
  <c r="M15" i="10"/>
  <c r="L15" i="10"/>
  <c r="K15" i="10"/>
  <c r="J15" i="10"/>
  <c r="I15" i="10"/>
  <c r="H15" i="10"/>
  <c r="G15" i="10"/>
  <c r="F15" i="10"/>
  <c r="E15" i="10"/>
  <c r="D15" i="10"/>
  <c r="C15" i="10"/>
  <c r="E5" i="10"/>
  <c r="F5" i="10" s="1"/>
  <c r="G5" i="10" s="1"/>
  <c r="H5" i="10" s="1"/>
  <c r="I5" i="10" s="1"/>
  <c r="J5" i="10" s="1"/>
  <c r="K5" i="10" s="1"/>
  <c r="L5" i="10" s="1"/>
  <c r="M5" i="10" s="1"/>
  <c r="N5" i="10" s="1"/>
  <c r="O5" i="10" s="1"/>
  <c r="D5" i="10"/>
  <c r="H15" i="7"/>
  <c r="H14" i="7"/>
  <c r="H13" i="7"/>
  <c r="H12" i="7"/>
  <c r="H11" i="7"/>
  <c r="H10" i="7"/>
  <c r="H9" i="7"/>
  <c r="H8" i="7"/>
  <c r="H7" i="7"/>
  <c r="H6" i="7"/>
  <c r="B53" i="4"/>
  <c r="B45" i="4"/>
  <c r="F43" i="4"/>
  <c r="B42" i="4"/>
  <c r="F40" i="4"/>
  <c r="C38" i="4"/>
  <c r="B57" i="4" s="1"/>
  <c r="C20" i="4"/>
  <c r="C16" i="4"/>
  <c r="C26" i="4" s="1"/>
  <c r="C12" i="4"/>
  <c r="C9" i="4"/>
  <c r="G41" i="3"/>
  <c r="F41" i="3"/>
  <c r="E41" i="3"/>
  <c r="J41" i="3" s="1"/>
  <c r="D41" i="3"/>
  <c r="J40" i="3"/>
  <c r="J39" i="3"/>
  <c r="J38" i="3"/>
  <c r="J37" i="3"/>
  <c r="J36" i="3"/>
  <c r="J35" i="3"/>
  <c r="J34" i="3"/>
  <c r="J33" i="3"/>
  <c r="J32" i="3"/>
  <c r="J31" i="3"/>
  <c r="J30" i="3"/>
  <c r="J29" i="3"/>
  <c r="J28" i="3"/>
  <c r="J27" i="3"/>
  <c r="J26" i="3"/>
  <c r="J25" i="3"/>
  <c r="J24" i="3"/>
  <c r="J23" i="3"/>
  <c r="J22" i="3"/>
  <c r="J21" i="3"/>
  <c r="J20" i="3"/>
  <c r="J19" i="3"/>
  <c r="J18" i="3"/>
  <c r="J17" i="3"/>
  <c r="I15" i="3"/>
  <c r="I41" i="3" s="1"/>
  <c r="I42" i="3" s="1"/>
  <c r="H15" i="3"/>
  <c r="H41" i="3" s="1"/>
  <c r="H42" i="3" s="1"/>
  <c r="J14" i="3"/>
  <c r="J13" i="3"/>
  <c r="J12" i="3"/>
  <c r="J11" i="3"/>
  <c r="J10" i="3"/>
  <c r="G9" i="3"/>
  <c r="G15" i="3" s="1"/>
  <c r="G42" i="3" s="1"/>
  <c r="F9" i="3"/>
  <c r="F15" i="3" s="1"/>
  <c r="F42" i="3" s="1"/>
  <c r="E9" i="3"/>
  <c r="E15" i="3" s="1"/>
  <c r="E42" i="3" s="1"/>
  <c r="D9" i="3"/>
  <c r="J9" i="3" s="1"/>
  <c r="J8" i="3"/>
  <c r="J7" i="3"/>
  <c r="J6" i="3"/>
  <c r="J4" i="3"/>
  <c r="H10" i="2"/>
  <c r="H9" i="2"/>
  <c r="H11" i="2" s="1"/>
  <c r="J8" i="2"/>
  <c r="J9" i="2" s="1"/>
  <c r="I8" i="2"/>
  <c r="I9" i="2" s="1"/>
  <c r="H8" i="2"/>
  <c r="G8" i="2"/>
  <c r="G9" i="2" s="1"/>
  <c r="F8" i="2"/>
  <c r="F9" i="2" s="1"/>
  <c r="E8" i="2"/>
  <c r="E9" i="2" s="1"/>
  <c r="D8" i="2"/>
  <c r="D9" i="2" s="1"/>
  <c r="C8" i="2"/>
  <c r="C9" i="2" s="1"/>
  <c r="G53" i="10" l="1"/>
  <c r="H7" i="10" s="1"/>
  <c r="H16" i="10" s="1"/>
  <c r="H53" i="10" s="1"/>
  <c r="I7" i="10" s="1"/>
  <c r="I16" i="10" s="1"/>
  <c r="I53" i="10" s="1"/>
  <c r="J7" i="10" s="1"/>
  <c r="J16" i="10" s="1"/>
  <c r="J53" i="10" s="1"/>
  <c r="K7" i="10" s="1"/>
  <c r="K16" i="10" s="1"/>
  <c r="K53" i="10" s="1"/>
  <c r="L7" i="10" s="1"/>
  <c r="L16" i="10" s="1"/>
  <c r="L53" i="10" s="1"/>
  <c r="M7" i="10" s="1"/>
  <c r="M16" i="10" s="1"/>
  <c r="M53" i="10" s="1"/>
  <c r="N7" i="10" s="1"/>
  <c r="N16" i="10" s="1"/>
  <c r="N53" i="10" s="1"/>
  <c r="O7" i="10" s="1"/>
  <c r="O16" i="10" s="1"/>
  <c r="O53" i="10" s="1"/>
  <c r="D11" i="2"/>
  <c r="D10" i="2"/>
  <c r="F11" i="2"/>
  <c r="F10" i="2"/>
  <c r="E11" i="2"/>
  <c r="E10" i="2"/>
  <c r="G11" i="2"/>
  <c r="G10" i="2"/>
  <c r="A23" i="12"/>
  <c r="E9" i="12"/>
  <c r="E16" i="12"/>
  <c r="F10" i="12" s="1"/>
  <c r="F16" i="12" s="1"/>
  <c r="G10" i="12" s="1"/>
  <c r="G16" i="12" s="1"/>
  <c r="H10" i="12" s="1"/>
  <c r="H16" i="12" s="1"/>
  <c r="I10" i="12" s="1"/>
  <c r="I16" i="12" s="1"/>
  <c r="J10" i="12" s="1"/>
  <c r="J16" i="12" s="1"/>
  <c r="K10" i="12" s="1"/>
  <c r="K16" i="12" s="1"/>
  <c r="L10" i="12" s="1"/>
  <c r="L16" i="12" s="1"/>
  <c r="M10" i="12" s="1"/>
  <c r="M16" i="12" s="1"/>
  <c r="C28" i="4"/>
  <c r="C36" i="4" s="1"/>
  <c r="D17" i="11"/>
  <c r="P53" i="11"/>
  <c r="I11" i="2"/>
  <c r="I10" i="2"/>
  <c r="J11" i="2"/>
  <c r="J10" i="2"/>
  <c r="C11" i="2"/>
  <c r="F42" i="4" s="1"/>
  <c r="C10" i="2"/>
  <c r="F27" i="4"/>
  <c r="F30" i="4" s="1"/>
  <c r="B43" i="4"/>
  <c r="B50" i="4"/>
  <c r="B58" i="4"/>
  <c r="J4" i="11"/>
  <c r="B51" i="4"/>
  <c r="B59" i="4"/>
  <c r="A22" i="12"/>
  <c r="B44" i="4"/>
  <c r="B52" i="4"/>
  <c r="L4" i="11"/>
  <c r="E4" i="11"/>
  <c r="M4" i="11"/>
  <c r="B46" i="4"/>
  <c r="B54" i="4"/>
  <c r="F4" i="11"/>
  <c r="N4" i="11"/>
  <c r="B47" i="4"/>
  <c r="B55" i="4"/>
  <c r="D15" i="3"/>
  <c r="C42" i="4"/>
  <c r="B48" i="4"/>
  <c r="B56" i="4"/>
  <c r="H4" i="11"/>
  <c r="B49" i="4"/>
  <c r="D54" i="11" l="1"/>
  <c r="E7" i="11" s="1"/>
  <c r="F34" i="4"/>
  <c r="F33" i="4"/>
  <c r="F41" i="4"/>
  <c r="C15" i="4"/>
  <c r="F29" i="4"/>
  <c r="F28" i="4"/>
  <c r="F35" i="4"/>
  <c r="C35" i="4"/>
  <c r="F9" i="12"/>
  <c r="A24" i="12"/>
  <c r="D42" i="3"/>
  <c r="J42" i="3" s="1"/>
  <c r="J15" i="3"/>
  <c r="E17" i="11" l="1"/>
  <c r="G9" i="12"/>
  <c r="A25" i="12"/>
  <c r="H9" i="12" l="1"/>
  <c r="A26" i="12"/>
  <c r="E54" i="11"/>
  <c r="F7" i="11" s="1"/>
  <c r="F17" i="11" l="1"/>
  <c r="I9" i="12"/>
  <c r="A27" i="12"/>
  <c r="A28" i="12" l="1"/>
  <c r="J9" i="12"/>
  <c r="F54" i="11"/>
  <c r="G7" i="11" s="1"/>
  <c r="G17" i="11" l="1"/>
  <c r="A29" i="12"/>
  <c r="K9" i="12"/>
  <c r="L9" i="12" l="1"/>
  <c r="A30" i="12"/>
  <c r="G54" i="11"/>
  <c r="H7" i="11" s="1"/>
  <c r="H17" i="11" l="1"/>
  <c r="A31" i="12"/>
  <c r="M9" i="12"/>
  <c r="A32" i="12" s="1"/>
  <c r="H54" i="11" l="1"/>
  <c r="I7" i="11" s="1"/>
  <c r="I17" i="11" s="1"/>
  <c r="I54" i="11" s="1"/>
  <c r="J7" i="11" s="1"/>
  <c r="J17" i="11" s="1"/>
  <c r="J54" i="11" s="1"/>
  <c r="K7" i="11" s="1"/>
  <c r="K17" i="11" s="1"/>
  <c r="K54" i="11" s="1"/>
  <c r="L7" i="11" s="1"/>
  <c r="L17" i="11" s="1"/>
  <c r="L54" i="11" s="1"/>
  <c r="M7" i="11" s="1"/>
  <c r="M17" i="11" s="1"/>
  <c r="M54" i="11" s="1"/>
  <c r="N7" i="11" s="1"/>
  <c r="N17" i="11" s="1"/>
  <c r="N54" i="11" s="1"/>
  <c r="O7" i="11" s="1"/>
  <c r="O17" i="11" l="1"/>
  <c r="P7" i="11"/>
  <c r="O54" i="11" l="1"/>
  <c r="P17" i="11"/>
</calcChain>
</file>

<file path=xl/sharedStrings.xml><?xml version="1.0" encoding="utf-8"?>
<sst xmlns="http://schemas.openxmlformats.org/spreadsheetml/2006/main" count="1085" uniqueCount="678">
  <si>
    <t>How to Use The Contrarian Deal Analysis Sheet</t>
  </si>
  <si>
    <t>Make a copy of this document if you haven't already.</t>
  </si>
  <si>
    <t xml:space="preserve">Add your Deal Box requirements to the Deal Box tab. You can also copy what you have from the Contrarian Deal Box sheet. </t>
  </si>
  <si>
    <t>(Optional) Complete the SDE Calculation worksheet</t>
  </si>
  <si>
    <t>Use the Deal Calculator to quickly assess if the deal is right for you.</t>
  </si>
  <si>
    <t xml:space="preserve">Sign an NDA to get 3 years of P&amp;Ls or other financials. </t>
  </si>
  <si>
    <t>Rerun the Deal Calculator to confirm if the cashflow requirements are met.</t>
  </si>
  <si>
    <t>Hire your deal team to draft an LOI with an initial offer.</t>
  </si>
  <si>
    <t>Once accepted, go into formal due diligence.</t>
  </si>
  <si>
    <t>Use the documents from due diligence to assess the Contrarian Value Markers of the business.</t>
  </si>
  <si>
    <t>If all looks good, continue through closing.</t>
  </si>
  <si>
    <t>Use the day 0 checklist to get your bases covered for ownership.</t>
  </si>
  <si>
    <t>VERSION HISTORY</t>
  </si>
  <si>
    <t>Initial launch</t>
  </si>
  <si>
    <t>Added Maintenance CapX as expense. Updated DSCR &amp; purchase price formula.</t>
  </si>
  <si>
    <t>Significant update to Deal Calculator with additional expenses and calculations</t>
  </si>
  <si>
    <t>Added a simple working capital calculator</t>
  </si>
  <si>
    <t>Updated deal calculator, closing checklist, DD checklist, Day 0 checklist (minor)</t>
  </si>
  <si>
    <t xml:space="preserve">Added the monthly and weekly cashflow trackers. </t>
  </si>
  <si>
    <t>Converted deal calculator to annual numbers plus error fix</t>
  </si>
  <si>
    <t>Fixed SDE calculation formula</t>
  </si>
  <si>
    <t>Added field for Included Working Capital other than inventory in Calculator</t>
  </si>
  <si>
    <t>Added default SBA guarantee fees for additional fees added to loan in Calculator</t>
  </si>
  <si>
    <t>Updated formula in deal calculator for Minimum Cash Flow</t>
  </si>
  <si>
    <t>Updated deal box estimated debt service from .33 of cash flow to .43 of cash flow</t>
  </si>
  <si>
    <t>Updated drop in revenue for break even calculation to reflect gross margin</t>
  </si>
  <si>
    <t>Added an item for salary NEEDED by owner for basic living expenses that impacts DSCR</t>
  </si>
  <si>
    <t>Updated SBA guarantee fee; Moved personal salary NEEDED for clarity</t>
  </si>
  <si>
    <t>Moved SDE Calculation to Step 2</t>
  </si>
  <si>
    <t>Updated SBA guarantee fee</t>
  </si>
  <si>
    <t>© 2024 Contrarian Thinking, LLC. All rights reserved.</t>
  </si>
  <si>
    <t>My Contrarian Deal Box</t>
  </si>
  <si>
    <t xml:space="preserve">Anything marked with * is a formula, do not edit those cells. </t>
  </si>
  <si>
    <t>My Deal Box</t>
  </si>
  <si>
    <t>Business A</t>
  </si>
  <si>
    <t>Business B</t>
  </si>
  <si>
    <t>Business C</t>
  </si>
  <si>
    <t>Business D</t>
  </si>
  <si>
    <t>Business E</t>
  </si>
  <si>
    <t>Business F</t>
  </si>
  <si>
    <t>Business G</t>
  </si>
  <si>
    <t>Purchase Price &amp; Cashflow Requirements</t>
  </si>
  <si>
    <t>Minimum Annual Cashflow</t>
  </si>
  <si>
    <t xml:space="preserve">This is the minimum cashflow (your income) you have to make to move forward on a deal. </t>
  </si>
  <si>
    <t>Operator Salary</t>
  </si>
  <si>
    <t xml:space="preserve">This is what you'd have to pay the operator, if you choose to have one. If you don't know whether this is necessary at this point, you can leave this at $0. Just keep in mind that when you start seriously looking at a business, you will need to increase the target cashflow if you need to pay an operator. </t>
  </si>
  <si>
    <t>Financing</t>
  </si>
  <si>
    <t>Are you going to be financing the acquisition?</t>
  </si>
  <si>
    <t>Estimated Debt Service Cost*</t>
  </si>
  <si>
    <t>If you are going to use financing, the number at the right will be the very estimated cost of debt service. You'll want to get a precise number in a future step.</t>
  </si>
  <si>
    <r>
      <rPr>
        <sz val="10"/>
        <color theme="1"/>
        <rFont val="Arial"/>
      </rPr>
      <t xml:space="preserve">Total Cashflow </t>
    </r>
    <r>
      <rPr>
        <b/>
        <sz val="10"/>
        <color theme="1"/>
        <rFont val="Arial"/>
      </rPr>
      <t>Needed*</t>
    </r>
  </si>
  <si>
    <r>
      <rPr>
        <sz val="10"/>
        <color theme="1"/>
        <rFont val="Arial"/>
      </rPr>
      <t xml:space="preserve">This is the cashflow you </t>
    </r>
    <r>
      <rPr>
        <i/>
        <sz val="10"/>
        <color theme="1"/>
        <rFont val="Arial"/>
      </rPr>
      <t>must</t>
    </r>
    <r>
      <rPr>
        <sz val="10"/>
        <color theme="1"/>
        <rFont val="Arial"/>
      </rPr>
      <t xml:space="preserve"> have from the business in order to meet your income goals, pay your operator's salary and pay for any debt service. </t>
    </r>
  </si>
  <si>
    <t>Minimum Purchase Price*</t>
  </si>
  <si>
    <t xml:space="preserve">This is the minimum price you'd likely pay for your business using a 2x multiple. Do not focus on this number, this is negotiable and cashflow is most important. </t>
  </si>
  <si>
    <t>Maximum Purchase Price*</t>
  </si>
  <si>
    <t xml:space="preserve">This is the maximum price you'd likely pay for your business using a 4x multiple. Do not focus on this number, this is negotiable and cashflow is most important. </t>
  </si>
  <si>
    <t xml:space="preserve">Is this the right business for me? </t>
  </si>
  <si>
    <t>Must-Haves</t>
  </si>
  <si>
    <t xml:space="preserve">What are the must-haves in your future business? Operator-only? Remote? What's best for you? Ideally max 3. </t>
  </si>
  <si>
    <t xml:space="preserve">Insert here. </t>
  </si>
  <si>
    <t>Can't Stands</t>
  </si>
  <si>
    <t>What are the things you'd HATE in your future business? If you were the operator? If you had to work in a specific industry? Put what you definitely DONT want here. Ideally max 3.</t>
  </si>
  <si>
    <t>Financing Options</t>
  </si>
  <si>
    <t xml:space="preserve">Are you only working with deals that are seller-financed? Or SBA is fine too? Put your ideal financing options here. </t>
  </si>
  <si>
    <t>Sector/Industry</t>
  </si>
  <si>
    <t xml:space="preserve">Do you have a specific industry you're interested in buying like plumbing or HVAC? If not, can leave blank. </t>
  </si>
  <si>
    <t>Location</t>
  </si>
  <si>
    <t xml:space="preserve">Does this have to be remote? Or specific to your current town or state? If not, can leave blank. </t>
  </si>
  <si>
    <t>Employees</t>
  </si>
  <si>
    <t xml:space="preserve">Do you want to work with a small or big team? Any preference? </t>
  </si>
  <si>
    <t># Years in Business</t>
  </si>
  <si>
    <t xml:space="preserve">Do you have a set number of years you're willing to work with? For example, if it's less than 3 years, you wouldn't buy it? </t>
  </si>
  <si>
    <t>Operator</t>
  </si>
  <si>
    <t xml:space="preserve">Do you want an operator in place? Or will you be the operator? If you're indifferent, can leave blank. </t>
  </si>
  <si>
    <t>Contrarian Truths Check</t>
  </si>
  <si>
    <t>Make sure all of these are checked.</t>
  </si>
  <si>
    <t>Profitability</t>
  </si>
  <si>
    <t>Does business profit cover debt service/financing costs?</t>
  </si>
  <si>
    <t>Does business profit cover operator salary?</t>
  </si>
  <si>
    <t>Does business profit cover growth capital/working capital?</t>
  </si>
  <si>
    <t>Does business profit cover my earnings/income?</t>
  </si>
  <si>
    <t xml:space="preserve">Make sure NONE of these are checked. </t>
  </si>
  <si>
    <t>Gross Defects</t>
  </si>
  <si>
    <t>High failure rate</t>
  </si>
  <si>
    <t>Net operating loss</t>
  </si>
  <si>
    <t>Asymmetric risk</t>
  </si>
  <si>
    <t>Debt/Equity \&gt; 1</t>
  </si>
  <si>
    <t>High expense</t>
  </si>
  <si>
    <t>Low transferability</t>
  </si>
  <si>
    <t>SOWS &amp; BRIT Test</t>
  </si>
  <si>
    <t xml:space="preserve">The more of these boxes are checked, the better. It's not required to move forward. </t>
  </si>
  <si>
    <t>SOWS</t>
  </si>
  <si>
    <r>
      <rPr>
        <b/>
        <sz val="10"/>
        <color theme="1"/>
        <rFont val="Arial"/>
      </rPr>
      <t>Stale</t>
    </r>
    <r>
      <rPr>
        <sz val="10"/>
        <color theme="1"/>
        <rFont val="Arial"/>
      </rPr>
      <t xml:space="preserve"> - is there minimal innovation?</t>
    </r>
  </si>
  <si>
    <r>
      <rPr>
        <b/>
        <sz val="10"/>
        <color theme="1"/>
        <rFont val="Arial"/>
      </rPr>
      <t>Old</t>
    </r>
    <r>
      <rPr>
        <sz val="10"/>
        <color theme="1"/>
        <rFont val="Arial"/>
      </rPr>
      <t xml:space="preserve"> - long standing business? </t>
    </r>
  </si>
  <si>
    <r>
      <rPr>
        <b/>
        <sz val="10"/>
        <color theme="1"/>
        <rFont val="Arial"/>
      </rPr>
      <t>Weak</t>
    </r>
    <r>
      <rPr>
        <sz val="10"/>
        <color theme="1"/>
        <rFont val="Arial"/>
      </rPr>
      <t xml:space="preserve"> - poor competition? </t>
    </r>
  </si>
  <si>
    <r>
      <rPr>
        <b/>
        <sz val="10"/>
        <color theme="1"/>
        <rFont val="Arial"/>
      </rPr>
      <t>Simple</t>
    </r>
    <r>
      <rPr>
        <sz val="10"/>
        <color theme="1"/>
        <rFont val="Arial"/>
      </rPr>
      <t xml:space="preserve"> - simple business model, but needed. </t>
    </r>
  </si>
  <si>
    <t>BRIT</t>
  </si>
  <si>
    <r>
      <rPr>
        <b/>
        <sz val="10"/>
        <color theme="1"/>
        <rFont val="Arial"/>
      </rPr>
      <t>Buy</t>
    </r>
    <r>
      <rPr>
        <sz val="10"/>
        <color theme="1"/>
        <rFont val="Arial"/>
      </rPr>
      <t xml:space="preserve"> - buy businesses that cashflow. Make sure it covers your cashflow requirements. </t>
    </r>
  </si>
  <si>
    <r>
      <rPr>
        <b/>
        <sz val="10"/>
        <color theme="1"/>
        <rFont val="Arial"/>
      </rPr>
      <t>Resist</t>
    </r>
    <r>
      <rPr>
        <sz val="10"/>
        <color theme="1"/>
        <rFont val="Arial"/>
      </rPr>
      <t xml:space="preserve"> - in recession-resistant sectors. Is the industry recession-proof?</t>
    </r>
  </si>
  <si>
    <r>
      <rPr>
        <b/>
        <sz val="10"/>
        <color theme="1"/>
        <rFont val="Arial"/>
      </rPr>
      <t>Increase</t>
    </r>
    <r>
      <rPr>
        <sz val="10"/>
        <color theme="1"/>
        <rFont val="Arial"/>
      </rPr>
      <t xml:space="preserve"> - with an ability to raise their prices. Can you add more value to increase revenue? </t>
    </r>
  </si>
  <si>
    <r>
      <rPr>
        <b/>
        <sz val="10"/>
        <color theme="1"/>
        <rFont val="Arial"/>
      </rPr>
      <t>Tech</t>
    </r>
    <r>
      <rPr>
        <sz val="10"/>
        <color theme="1"/>
        <rFont val="Arial"/>
      </rPr>
      <t xml:space="preserve"> - add tech to the existing offerings. Can you innovate with tech to improve the costs?</t>
    </r>
  </si>
  <si>
    <t>BONUS: SDE Calculation</t>
  </si>
  <si>
    <t>Watch the lesson in the Main Street Accelerator on calculating SDE</t>
  </si>
  <si>
    <t xml:space="preserve">Use the worksheet below to calculate SDE. SDE is a more accurate reflection of profits for Main Street businesses that are typically owner-operated.
Do not edit black cells. They are formulas. </t>
  </si>
  <si>
    <t>WEIGHTING FOR AVERAGE</t>
  </si>
  <si>
    <t>20___</t>
  </si>
  <si>
    <t>YTD 20___</t>
  </si>
  <si>
    <t>Weighted Average</t>
  </si>
  <si>
    <t>Other SDE Addback Examples:</t>
  </si>
  <si>
    <t>Sales</t>
  </si>
  <si>
    <t>Inventory written off to increase COGS in previous years</t>
  </si>
  <si>
    <r>
      <rPr>
        <i/>
        <sz val="10"/>
        <color rgb="FF000000"/>
        <rFont val="Arial"/>
      </rPr>
      <t xml:space="preserve">Less </t>
    </r>
    <r>
      <rPr>
        <b/>
        <sz val="10"/>
        <color rgb="FF000000"/>
        <rFont val="Arial"/>
      </rPr>
      <t>Cost of Sales</t>
    </r>
  </si>
  <si>
    <t>Child Care provided by company (or its employees)</t>
  </si>
  <si>
    <r>
      <rPr>
        <i/>
        <sz val="10"/>
        <color rgb="FF000000"/>
        <rFont val="Arial"/>
      </rPr>
      <t xml:space="preserve">Less </t>
    </r>
    <r>
      <rPr>
        <b/>
        <sz val="10"/>
        <color rgb="FF000000"/>
        <rFont val="Arial"/>
      </rPr>
      <t>Operating Expenses</t>
    </r>
  </si>
  <si>
    <t>Other family members on payroll but not working in the company</t>
  </si>
  <si>
    <r>
      <rPr>
        <i/>
        <sz val="10"/>
        <color rgb="FF000000"/>
        <rFont val="Arial"/>
      </rPr>
      <t>Equals</t>
    </r>
    <r>
      <rPr>
        <sz val="10"/>
        <color rgb="FF000000"/>
        <rFont val="Arial"/>
      </rPr>
      <t xml:space="preserve"> </t>
    </r>
    <r>
      <rPr>
        <b/>
        <sz val="10"/>
        <color rgb="FF000000"/>
        <rFont val="Arial"/>
      </rPr>
      <t>Net Income Before Taxes</t>
    </r>
  </si>
  <si>
    <t>Gains or losses on disposal of assets</t>
  </si>
  <si>
    <r>
      <rPr>
        <i/>
        <sz val="10"/>
        <color rgb="FF000000"/>
        <rFont val="Arial"/>
      </rPr>
      <t xml:space="preserve">Plus </t>
    </r>
    <r>
      <rPr>
        <b/>
        <sz val="10"/>
        <color rgb="FF000000"/>
        <rFont val="Arial"/>
      </rPr>
      <t>Depreciation &amp; Amortization</t>
    </r>
  </si>
  <si>
    <t>Laundry or dry cleaning for owner/owner's family</t>
  </si>
  <si>
    <r>
      <rPr>
        <i/>
        <sz val="10"/>
        <color rgb="FF000000"/>
        <rFont val="Arial"/>
      </rPr>
      <t xml:space="preserve">Plus </t>
    </r>
    <r>
      <rPr>
        <b/>
        <sz val="10"/>
        <color rgb="FF000000"/>
        <rFont val="Arial"/>
      </rPr>
      <t>Interest on Loans to Business</t>
    </r>
  </si>
  <si>
    <t xml:space="preserve">Excessive (or under) market rate rental and/or lease amounts </t>
  </si>
  <si>
    <r>
      <rPr>
        <i/>
        <sz val="10"/>
        <color rgb="FF000000"/>
        <rFont val="Arial"/>
      </rPr>
      <t xml:space="preserve">Plus </t>
    </r>
    <r>
      <rPr>
        <b/>
        <sz val="10"/>
        <color rgb="FF000000"/>
        <rFont val="Arial"/>
      </rPr>
      <t>Corporate / LLC Taxes</t>
    </r>
  </si>
  <si>
    <t>Personal Banking Charges</t>
  </si>
  <si>
    <r>
      <rPr>
        <i/>
        <sz val="10"/>
        <color rgb="FF000000"/>
        <rFont val="Arial"/>
      </rPr>
      <t xml:space="preserve">Plus </t>
    </r>
    <r>
      <rPr>
        <b/>
        <sz val="10"/>
        <color rgb="FF000000"/>
        <rFont val="Arial"/>
      </rPr>
      <t>Salary for One Owner</t>
    </r>
  </si>
  <si>
    <t>Household repairs or services paid by company</t>
  </si>
  <si>
    <r>
      <rPr>
        <i/>
        <sz val="10"/>
        <color rgb="FF000000"/>
        <rFont val="Arial"/>
      </rPr>
      <t xml:space="preserve">Plus </t>
    </r>
    <r>
      <rPr>
        <b/>
        <sz val="10"/>
        <color rgb="FF000000"/>
        <rFont val="Arial"/>
      </rPr>
      <t>Payroll Taxes on Owner's Salary</t>
    </r>
  </si>
  <si>
    <t>Home Office rent paid to owner by company</t>
  </si>
  <si>
    <r>
      <rPr>
        <i/>
        <sz val="10"/>
        <color rgb="FF000000"/>
        <rFont val="Arial"/>
      </rPr>
      <t xml:space="preserve">Equals </t>
    </r>
    <r>
      <rPr>
        <b/>
        <sz val="10"/>
        <color rgb="FF000000"/>
        <rFont val="Arial"/>
      </rPr>
      <t>Basic Discretionary Earnings</t>
    </r>
  </si>
  <si>
    <t>Insurance premiums for owner's health, life, etc.</t>
  </si>
  <si>
    <t>Seller's Discretionary Earnings will sometimes include the following additions/deletions - line items indicating "cash flowing" to or from the company to the owner</t>
  </si>
  <si>
    <t>Personal Home Internet Service</t>
  </si>
  <si>
    <t>Salaries to Non-Working Family Members</t>
  </si>
  <si>
    <t>Maid / Housecleaning services</t>
  </si>
  <si>
    <t>Salary Adjustments for Other Owners &amp; Family Members</t>
  </si>
  <si>
    <t>Memberships (Equipment or Health, Country or Golf Clubs)</t>
  </si>
  <si>
    <t>Payroll Tax Additions/Deletions For 10 &amp; 11 Above</t>
  </si>
  <si>
    <t>Non-Business Postage/Shipping</t>
  </si>
  <si>
    <t>Auto Lease/Payments for Owner's Benefit</t>
  </si>
  <si>
    <t>Unique payroll benefits paid to owner</t>
  </si>
  <si>
    <t>Auto Insurance for Owner's Benefit</t>
  </si>
  <si>
    <t>Personal Credit Cards paid by business</t>
  </si>
  <si>
    <t>Auto Repairs &amp; Maintenance for Owner's Benefit</t>
  </si>
  <si>
    <t>Personal or Owner Family Products Purchased/Services Used (Provided by or paid for by company)</t>
  </si>
  <si>
    <t>Contributions and Donations</t>
  </si>
  <si>
    <t>Non-Business Professional Services (Legal/Accounting/Tax)</t>
  </si>
  <si>
    <t>Fair Market Rent Additions/Deletions</t>
  </si>
  <si>
    <t>Retirement plan contributions</t>
  </si>
  <si>
    <t>Insurance Premiums for Owner's Health, Life, etc.</t>
  </si>
  <si>
    <t>Subscriptions to Personal Magazine, newspapers, etc.</t>
  </si>
  <si>
    <t>Non-Business Professional Services (legal / accounting / tax)</t>
  </si>
  <si>
    <t>Retirement Plan Contributions</t>
  </si>
  <si>
    <t>Non-Business Meals &amp; Entertainment</t>
  </si>
  <si>
    <t>Non-Business Travel</t>
  </si>
  <si>
    <t>Non-Business Telephone, Internet &amp; Cell Phone expenses</t>
  </si>
  <si>
    <t>One Time Non-Recurring Charges or (Income)</t>
  </si>
  <si>
    <t>Inventory Adjustments</t>
  </si>
  <si>
    <t>Supplier Rebates</t>
  </si>
  <si>
    <t>Maintenance CapX (enter a negative number)</t>
  </si>
  <si>
    <t>Add others here</t>
  </si>
  <si>
    <r>
      <rPr>
        <sz val="10"/>
        <color rgb="FF000000"/>
        <rFont val="Arial"/>
      </rPr>
      <t xml:space="preserve">Sum of </t>
    </r>
    <r>
      <rPr>
        <b/>
        <sz val="10"/>
        <color rgb="FF000000"/>
        <rFont val="Arial"/>
      </rPr>
      <t>Discretionary Earnings Additions/Deletions</t>
    </r>
  </si>
  <si>
    <t>Total Seller Discretionary Earnings (SDE)</t>
  </si>
  <si>
    <t>ANNUAL CASHFLOW YEAR 1</t>
  </si>
  <si>
    <r>
      <rPr>
        <b/>
        <sz val="10"/>
        <color theme="1"/>
        <rFont val="Montserrat"/>
      </rPr>
      <t xml:space="preserve">Watch a walkthrough of how to use the Deal Calculator in the MSA </t>
    </r>
    <r>
      <rPr>
        <b/>
        <u/>
        <sz val="10"/>
        <color rgb="FF1155CC"/>
        <rFont val="Montserrat"/>
      </rPr>
      <t>here</t>
    </r>
    <r>
      <rPr>
        <b/>
        <sz val="10"/>
        <color theme="1"/>
        <rFont val="Montserrat"/>
      </rPr>
      <t xml:space="preserve">. </t>
    </r>
  </si>
  <si>
    <t>Contrarian Action Items</t>
  </si>
  <si>
    <t>Editable Cells Are Black</t>
  </si>
  <si>
    <t>Use the deal calculator to do a quick glance if this deal meets your deal box.</t>
  </si>
  <si>
    <t>Reach out to seller/broker</t>
  </si>
  <si>
    <t>LOAN PAYMENT CALCULATOR</t>
  </si>
  <si>
    <t>EXPENSES (MONEY OUT)</t>
  </si>
  <si>
    <t>Sign NDA</t>
  </si>
  <si>
    <t>Purchase Price</t>
  </si>
  <si>
    <t>Get 3 years of recast earnings or P&amp;Ls</t>
  </si>
  <si>
    <t>Down payment</t>
  </si>
  <si>
    <t>Move to step 3 to make an offer</t>
  </si>
  <si>
    <t>Loan Amount #1</t>
  </si>
  <si>
    <t>Loan #1 Additional Fees Added To Loan (Default is SBA upfront guarantee fee)</t>
  </si>
  <si>
    <t>Interest Rate (Annual)</t>
  </si>
  <si>
    <t>Term (Years)</t>
  </si>
  <si>
    <t>Notes From P&amp;L</t>
  </si>
  <si>
    <t>Loan Amount #2</t>
  </si>
  <si>
    <t xml:space="preserve">You can write any notes here about the business. Anything interesting from the P&amp;L? Important caveats? </t>
  </si>
  <si>
    <t>Debt Service Coverage Ratio</t>
  </si>
  <si>
    <t>Monthly Loan Payment</t>
  </si>
  <si>
    <t>REVENUE (MONEY IN - ANNUAL)</t>
  </si>
  <si>
    <t>Money In (Annual Business Revenue)</t>
  </si>
  <si>
    <t>Total Annual Income</t>
  </si>
  <si>
    <t>EXPENSES (MONEY OUT - ANNUAL)</t>
  </si>
  <si>
    <t>Operating Expenses</t>
  </si>
  <si>
    <t>Cost of Goods Sold</t>
  </si>
  <si>
    <t>Maintenance CapX</t>
  </si>
  <si>
    <t>Salary NEEDED From Biz</t>
  </si>
  <si>
    <t>Annual Loan Payments</t>
  </si>
  <si>
    <t>ADDITIONAL CALCULATIONS</t>
  </si>
  <si>
    <t>Operator Salary + Benefits (Annual - New Hire / Not Current Employee)</t>
  </si>
  <si>
    <t>Gross Profit Margin</t>
  </si>
  <si>
    <t>Only put a value here if you NEED income from this business to pay your basic living expenses. If you have income from another W2, investments, spousal income, etc. that covers basic expenses, leave this at $0.
The only impact this number has is on the DSCR - it will lower the DSCR because if you NEED income from the business, then part of the cash flow the business is generating is not available to pay off debt because you NEED it.
This is how a lender underwrites a loan. If you're relying on the business for basic expenses, they will usually assume some reasonable amount based upon where you live (usually up to $100,000). We're talking basic expenses here, nothing fancy.</t>
  </si>
  <si>
    <t>Total Annual Expenses</t>
  </si>
  <si>
    <t>Net Profit Margin</t>
  </si>
  <si>
    <t>Cash on Cash Return (Annual Cash Flow / Cash Invested)</t>
  </si>
  <si>
    <t>ADDBACKS &amp; WORKING CAPITAL INCLUDED IN PURCHASE PRICE</t>
  </si>
  <si>
    <t>Estimated Revenue Drop Before Loan Under Water</t>
  </si>
  <si>
    <t>Annual Addbacks (Owner Benefits + Depreciation + Interest + Taxes</t>
  </si>
  <si>
    <t>Cash + Accounts Receivable + Cash Equivalents - Accounts Payable (Affects Multiple)</t>
  </si>
  <si>
    <t>TOTAL RETURN ON INITIAL INVESTMENT (BASED ON ZERO GROWTH)</t>
  </si>
  <si>
    <t>YEAR 1</t>
  </si>
  <si>
    <t>CASH FLOW (INCOME - TOTAL ANNUAL EXPENSES + ADDBACKS + YOUR SALARY)</t>
  </si>
  <si>
    <t>YEAR 2</t>
  </si>
  <si>
    <t>Monthly Cashflow</t>
  </si>
  <si>
    <t>YEAR 3*</t>
  </si>
  <si>
    <t>Annual Cashflow</t>
  </si>
  <si>
    <t>* This is a cumalative return over the 3-year period.</t>
  </si>
  <si>
    <r>
      <rPr>
        <sz val="10"/>
        <color theme="1"/>
        <rFont val="Poppins"/>
      </rPr>
      <t>Your Salary NEEDED From This Business (</t>
    </r>
    <r>
      <rPr>
        <b/>
        <sz val="10"/>
        <color theme="1"/>
        <rFont val="Poppins"/>
      </rPr>
      <t>See right sidebar for more details</t>
    </r>
    <r>
      <rPr>
        <sz val="10"/>
        <color theme="1"/>
        <rFont val="Poppins"/>
      </rPr>
      <t>)</t>
    </r>
  </si>
  <si>
    <t>Seller Discretionary Earnings (Rev - OpEx - COGS - MCapX + Addbacks)</t>
  </si>
  <si>
    <t>MY DEAL BOX REQUIREMENTS (Fills in automatically from other tab)</t>
  </si>
  <si>
    <t>MULTIPLE CHART (SDE = OPERATING INCOME + ADDBACKS)</t>
  </si>
  <si>
    <t>Minimum Desired Annual Cashflow</t>
  </si>
  <si>
    <t>Multiple of SDE</t>
  </si>
  <si>
    <t>Deal Annual Cashflow</t>
  </si>
  <si>
    <t>Max Purchase Price</t>
  </si>
  <si>
    <t>Deal Purchase Price</t>
  </si>
  <si>
    <t xml:space="preserve">Enter your own multiple here if none of the above are relevant. </t>
  </si>
  <si>
    <t>Step 3: Make the seller an offer.</t>
  </si>
  <si>
    <r>
      <rPr>
        <b/>
        <sz val="11"/>
        <color rgb="FF000000"/>
        <rFont val="Roboto"/>
      </rPr>
      <t xml:space="preserve">Use the checklist below to cover most of your bases in the LOI and APA. Remember: </t>
    </r>
    <r>
      <rPr>
        <b/>
        <i/>
        <sz val="11"/>
        <color rgb="FF000000"/>
        <rFont val="Roboto"/>
      </rPr>
      <t>everything</t>
    </r>
    <r>
      <rPr>
        <b/>
        <sz val="11"/>
        <color rgb="FF000000"/>
        <rFont val="Roboto"/>
      </rPr>
      <t xml:space="preserve"> is negotiable. You'll come back to this after due diligence to edit &amp; tweak your offer after getting all the docs. </t>
    </r>
  </si>
  <si>
    <t>Category</t>
  </si>
  <si>
    <t>Questions To Answer</t>
  </si>
  <si>
    <t>Answers</t>
  </si>
  <si>
    <t>Notes</t>
  </si>
  <si>
    <t>Added to LOI?</t>
  </si>
  <si>
    <t>Added to PA?</t>
  </si>
  <si>
    <t>Accounts Payable</t>
  </si>
  <si>
    <t>Will you ask to include accounts payable?</t>
  </si>
  <si>
    <t>Typically not included but you could take these over (would make the purchase price lower).</t>
  </si>
  <si>
    <t>Determine offer price range (using deal calculator)</t>
  </si>
  <si>
    <t>Accounts Receivable</t>
  </si>
  <si>
    <t>Will you ask to include accounts receivable?</t>
  </si>
  <si>
    <t xml:space="preserve">The standard asset purchase agreement does not come with accounts receivable. You may want to include some because you'll need working capital. That would be a separate cash infusion, loan, AR, or a combo of all. </t>
  </si>
  <si>
    <t>Hire deal team to help draft LOI</t>
  </si>
  <si>
    <t>Broker Information</t>
  </si>
  <si>
    <t xml:space="preserve">Who's the broker? What's their fee? How will they be paid? </t>
  </si>
  <si>
    <t>Send LOI to broker/seller and review</t>
  </si>
  <si>
    <t>Close Date</t>
  </si>
  <si>
    <t xml:space="preserve">When will the deal close? </t>
  </si>
  <si>
    <t>Negotiate terms and price</t>
  </si>
  <si>
    <t>Confidentiality</t>
  </si>
  <si>
    <t>A clause for confidentiality for both parties until the deal is completed.</t>
  </si>
  <si>
    <t xml:space="preserve">We include verbiage in our LOI that protects our negotiation period for a set amount of time. That gives us time to take the next step and get under the hood of the business we’re interested in buying. This is typically not possible during the NDA stage, and it may cost some money to lock it down for this period. So the devil is in the details on how long of an exclusivity period we get. We often ask for 30 days. </t>
  </si>
  <si>
    <t>Have lawyer draft your PA</t>
  </si>
  <si>
    <t>Contingencies</t>
  </si>
  <si>
    <t xml:space="preserve">Business performance? </t>
  </si>
  <si>
    <t>In general - if there’s anything you’re concerned about, talk to your attorney - and add it into the agreement under contingencies.</t>
  </si>
  <si>
    <t>Get APA signed by seller</t>
  </si>
  <si>
    <t xml:space="preserve">Lease? </t>
  </si>
  <si>
    <t xml:space="preserve">Financing? </t>
  </si>
  <si>
    <t>Links</t>
  </si>
  <si>
    <t xml:space="preserve">Timeline for DD? </t>
  </si>
  <si>
    <t>LOI TEMPLATE</t>
  </si>
  <si>
    <t xml:space="preserve">Add other contingencies that are relevant to your deal here. </t>
  </si>
  <si>
    <t xml:space="preserve">There are dozens of other contingencies you can add to your agreements. Your lawyer will likely know what to add. </t>
  </si>
  <si>
    <r>
      <rPr>
        <sz val="10"/>
        <color rgb="FF000000"/>
        <rFont val="Arial"/>
      </rPr>
      <t>APA TEMPLATE</t>
    </r>
    <r>
      <rPr>
        <sz val="10"/>
        <color rgb="FF000000"/>
        <rFont val="Arial"/>
      </rPr>
      <t xml:space="preserve"> (coming soon!)</t>
    </r>
  </si>
  <si>
    <t>Escrow</t>
  </si>
  <si>
    <t xml:space="preserve">Who to use, when escrow is opened, and any other relevant details. </t>
  </si>
  <si>
    <t xml:space="preserve">This is usually more addressed in the closing stage, so you may not have all the details yet. </t>
  </si>
  <si>
    <t>How much will you include in your down payment?</t>
  </si>
  <si>
    <t xml:space="preserve">Your total down payment is....
Earnest deposit + deposit upon signing + additional cash during escrow + cash payments from 3rd party financing. Make sure to specify these amounts. </t>
  </si>
  <si>
    <t xml:space="preserve">How much will be seller financed? </t>
  </si>
  <si>
    <t>Include percentage, payment period, and monthly payment amount.</t>
  </si>
  <si>
    <t xml:space="preserve">Are you including earn-outs in the deal? </t>
  </si>
  <si>
    <t>Are you going to borrow from any third parties?</t>
  </si>
  <si>
    <t xml:space="preserve">Specify who the parties are, what the potential interest rate would be, monthly payments, etc. </t>
  </si>
  <si>
    <t>Are you bringing in equity partners?</t>
  </si>
  <si>
    <t>Inventory</t>
  </si>
  <si>
    <t>What is the amount of inventory that will be included in this sale?</t>
  </si>
  <si>
    <t xml:space="preserve">Get specifics on what inventory means as well. </t>
  </si>
  <si>
    <t>Non-compete</t>
  </si>
  <si>
    <t>Length of time, and distance that the owner will not compete.</t>
  </si>
  <si>
    <t>Non-recruit</t>
  </si>
  <si>
    <t>The owner will not recruit employees.</t>
  </si>
  <si>
    <t>Non-solicit</t>
  </si>
  <si>
    <t>The owner will not take clients away from the business.</t>
  </si>
  <si>
    <t>Termination</t>
  </si>
  <si>
    <t>When will the agreement expire?</t>
  </si>
  <si>
    <t>Transition Period</t>
  </si>
  <si>
    <t xml:space="preserve">How long will the owner stay on? </t>
  </si>
  <si>
    <t>Maybe you could ask for more (that you don’t really need) so you can give it back during negotiation. Example: ask for a training period of 8 weeks. Still make it fair, but lean into this.</t>
  </si>
  <si>
    <t xml:space="preserve">What tasks are required of the owner? How much training will they provide? </t>
  </si>
  <si>
    <t>Work In Process</t>
  </si>
  <si>
    <t xml:space="preserve">Is there any outstanding deposits for work to be completed that should be included? </t>
  </si>
  <si>
    <t>Example: A business received $100K deposit for work to be done, but it’s not completed yet. That's a liability of the company. The buyer is going to have to take that on, and they should get that cash back - because it's a deposit, and they still have to do the work.</t>
  </si>
  <si>
    <t>Step 4: Due Diligence</t>
  </si>
  <si>
    <t>After they accept your initial offer, you'll need to go into proper due diligence. This is where you'll fact check the P&amp;L and get other documents to answer important questions before signing the APA.
You'll mark which documents you feel are required in order to close the deal. We added in our recommendations.</t>
  </si>
  <si>
    <t>Document Name</t>
  </si>
  <si>
    <t>Importance</t>
  </si>
  <si>
    <t>Status</t>
  </si>
  <si>
    <t>Three Years of P&amp;Ls</t>
  </si>
  <si>
    <t>Finances</t>
  </si>
  <si>
    <t>If it’s a brokered deal, you’ll usually get a recast earnings statement. That’s a P&amp;L with addbacks to arrive at SDE. You may get that instead of a P&amp;L - either works.</t>
  </si>
  <si>
    <t>Gather necessary documents.</t>
  </si>
  <si>
    <t>Three Years of Tax Returns Tax Returns for at least the past three years</t>
  </si>
  <si>
    <t>4506-T is a document that gives you the ability to reach out to the IRS and get copies of returns directly from them. A lender will require this. Still helpful for you to have to verify accuracy of tax returns.</t>
  </si>
  <si>
    <t xml:space="preserve">Gather nice-to-have documents that you feel are important to the deal. </t>
  </si>
  <si>
    <t>YTD P&amp;L</t>
  </si>
  <si>
    <t xml:space="preserve">Use the documents to verify accuracy of your sales price, catch any red flags, and look for Contrarian Value Markers. </t>
  </si>
  <si>
    <t>Three Years of Balance Sheets</t>
  </si>
  <si>
    <t xml:space="preserve">If all is looking good, adjust your initial offer. Send an APA. </t>
  </si>
  <si>
    <t>1-3 Years of Bank Statements</t>
  </si>
  <si>
    <t>If you’re doing any kind of bank financing, you’ll need bank statements. You’ll likely need to hire an an accountant to help sort through the bank statements to confirm the accuracy of the P&amp;L.</t>
  </si>
  <si>
    <t>Use the closing checklist to close the deal!</t>
  </si>
  <si>
    <t>Equipment List, Inventory of All Products, Equipment, and Real Estate</t>
  </si>
  <si>
    <t>Assets</t>
  </si>
  <si>
    <t>You aren’t getting a valuation. You could ask for year and condition but a valuation requires resources most owners aren’t going to bring like an appraisal that costs $$.</t>
  </si>
  <si>
    <t>Current leases and titles</t>
  </si>
  <si>
    <t>ADA and similar laws are all compliant with all properties</t>
  </si>
  <si>
    <t>Full inventory of all property including automobiles, boats, equipment, real estate, and inventory</t>
  </si>
  <si>
    <t>Also list essential items currently being used by the business that will not be included in the sale</t>
  </si>
  <si>
    <t>Get any required inspections done (health, fire, etc)</t>
  </si>
  <si>
    <t>Office &amp; warehouse locations</t>
  </si>
  <si>
    <t>All products and services, including cost and margins</t>
  </si>
  <si>
    <t>Operations &amp; Business Structure</t>
  </si>
  <si>
    <t>Company names &amp; trademarks, patents &amp; other IP. Also any fictitious business names used by the company.</t>
  </si>
  <si>
    <t>All company’s patents, trademarks, and copyrights. Product inventions, formulas, recipes, or technical know-how. All rights owned data and digital information. Get confirmation on who developed the IP.</t>
  </si>
  <si>
    <t>Copy of all operating licenses with any city, county, or state agency</t>
  </si>
  <si>
    <t>All permits for the conduct of business, including licenses, franchises and concessions, including any current or pending governmental permits, licenses, grants and tax concessions or certificates.</t>
  </si>
  <si>
    <t>Insurance coverage &amp; policies</t>
  </si>
  <si>
    <t>Also get any historic claims made against insurance</t>
  </si>
  <si>
    <t>All former citations within the past 3 years for failure by the Company to comply with applicable local, state and federal laws</t>
  </si>
  <si>
    <t>Legal</t>
  </si>
  <si>
    <t>All nondisclosure or non-compete agreements</t>
  </si>
  <si>
    <t>Any pending litigations or threats</t>
  </si>
  <si>
    <t>Pro tip: Have the seller sign off that no legal issues currently exist in your contract so you have a back-out provision if something goes wrong later. Your lawyer can write this up for you.</t>
  </si>
  <si>
    <t>Contracts between officers, directors, or principals of the company.</t>
  </si>
  <si>
    <t>Distribution agreements, sales agreements, subscription agreements</t>
  </si>
  <si>
    <t>LOI’s, contracts, closing transcripts from mergers or acquisitions</t>
  </si>
  <si>
    <t>Would only apply if the company has former acquisitions or mergers.</t>
  </si>
  <si>
    <t>Partnerships &amp; JV’s</t>
  </si>
  <si>
    <t>Details of payments made during the last 12 months including 1099 and other contractor/consultant payments</t>
  </si>
  <si>
    <t>Warranty and Guarantee Policies</t>
  </si>
  <si>
    <t>Customer</t>
  </si>
  <si>
    <t>Quality of Earnings Report</t>
  </si>
  <si>
    <t>Typically only done on larger deals. Usually starting at about $10k.</t>
  </si>
  <si>
    <t>Three Years of Cash Flow Statements</t>
  </si>
  <si>
    <t>Not the same as a P&amp;L. Not all businesses will have this. Great if they do.</t>
  </si>
  <si>
    <t>Accounts Payable and Receivable</t>
  </si>
  <si>
    <t>Only ask for this if you’re trying to buy the working capital or if they have a large amount of AR.</t>
  </si>
  <si>
    <t>Credit Report</t>
  </si>
  <si>
    <t>Only applicable for stock or member interest purchases where you’ll own the current legal entity.</t>
  </si>
  <si>
    <t>List of ALL Debts</t>
  </si>
  <si>
    <t>Only applicable for stock or member interest purchases. If applicable, also get the terms, existing loan agreements, lines of credit, equipment leases or any other debt.</t>
  </si>
  <si>
    <t>Sales Tax Reports</t>
  </si>
  <si>
    <t>Only applies if the business sells retail and has to file such reports.</t>
  </si>
  <si>
    <t>Federal Payroll Tax Forms (Form 941)</t>
  </si>
  <si>
    <t>State Payroll Tax Forms (Forms Vary)</t>
  </si>
  <si>
    <t>See what forms are required for your state.</t>
  </si>
  <si>
    <t>Profit &amp; Loss Broken Down By Month &amp; Annual of Current Year</t>
  </si>
  <si>
    <t>Good to see if it’s a seasonal business.</t>
  </si>
  <si>
    <t>See The Business IRL</t>
  </si>
  <si>
    <t>Look up photos of the business (or just their website). Then go to the business IRL. Pose as a customer. Don’t say you’re loking to buy. Get a feel for how it’s currently managed. Is it clean and well-maintained? Did you have a good experience using their services? This may seem minor, but it can make a huge difference on the bottom line later.</t>
  </si>
  <si>
    <t>Marketing plans including advertising programs, marketing programs, and events</t>
  </si>
  <si>
    <t>Growth</t>
  </si>
  <si>
    <t>Identify any marketing-related costs. Customer lead acquisition report across all channels. Any customer loyalty programs?</t>
  </si>
  <si>
    <t>List all major competitors and their pricing</t>
  </si>
  <si>
    <t>Industry</t>
  </si>
  <si>
    <t>Can ask the seller for any industry trends or intel they have on competitors. But most of this research will be done yourself.</t>
  </si>
  <si>
    <t>Data security - confirm all data is secure</t>
  </si>
  <si>
    <t>- Confirm how they use personal information</t>
  </si>
  <si>
    <t>- Procedures around customer policy</t>
  </si>
  <si>
    <t>- Have there been any issues?Breaches/etc?</t>
  </si>
  <si>
    <t>Property tax projections</t>
  </si>
  <si>
    <t>Software and backend systems currently used</t>
  </si>
  <si>
    <t>Call accounting, credit card processing, employee/HR tech, etc. We want to identify if there is any upside due to a lack of tech innovation in the business.</t>
  </si>
  <si>
    <t>Vehicles - Year, make, model, mileage, etc.</t>
  </si>
  <si>
    <t>You can get specifics after the deal closes.</t>
  </si>
  <si>
    <t>Company’s brand identity, including logo, website, and domain</t>
  </si>
  <si>
    <t>Management reports &amp; business plans</t>
  </si>
  <si>
    <t>Team</t>
  </si>
  <si>
    <t>Only applies to stock purchase or member interest agreements.</t>
  </si>
  <si>
    <t>Employee roster and org chart</t>
  </si>
  <si>
    <t>Employee contracts and independent contractor agreements</t>
  </si>
  <si>
    <t>Ideally get this for both current and past employees. Any agreements/terminations either in writing or verbal commitments made by the owner, including any pending terminations/departures.</t>
  </si>
  <si>
    <t>Payroll information and employee tax forms</t>
  </si>
  <si>
    <t>Human resources policies and procedures</t>
  </si>
  <si>
    <t>Employee benefits, retirement plan, and insurance</t>
  </si>
  <si>
    <t>Details of pension, life insurance, health insurance, profit charing plans, and other benefits / vacation / sick leaves.</t>
  </si>
  <si>
    <t>Who are the key employees and what do their responsibilities entail?</t>
  </si>
  <si>
    <t>Is anyone looking to leave after it’s sold? Can you incentivize good ones to stay? Any bad employees or subpar you should get rid of?</t>
  </si>
  <si>
    <t>Details of commission plans, bonus, non-financial compensation, expense accounts, and any other employee payments</t>
  </si>
  <si>
    <t>Company’s articles of incorporation and amendments</t>
  </si>
  <si>
    <t>Only applies to stock purchase or member interest agreements. But for member interest (meaning LLC) you’d want a copy of Articles of Organization.</t>
  </si>
  <si>
    <t>Company’s bylaws and amendments</t>
  </si>
  <si>
    <t>Summary of current investors and shareholders</t>
  </si>
  <si>
    <t>Business Plans &amp; Forecasts For The Next Operating Year</t>
  </si>
  <si>
    <t>Few businesses will have plans or forecasts. That’s the nature of small business.</t>
  </si>
  <si>
    <t>All loan agreements, material leases, lines of credit, or promissory notes</t>
  </si>
  <si>
    <t>Doesn’t apply to purchase agreements in most cases.</t>
  </si>
  <si>
    <t>Professional services agreements - marketing, accounting, etc.</t>
  </si>
  <si>
    <t>Minimal value. Only worth having for maybe high-expense agreements.</t>
  </si>
  <si>
    <t>Security agreements, mortgages, collateral pledges</t>
  </si>
  <si>
    <t>Definitely wouldn’t apply to asset purchases, maybe to stock / member interest.</t>
  </si>
  <si>
    <t>Largest customers, how were they acquired?</t>
  </si>
  <si>
    <t>You want to be mindful of any big customer concentration. For example, if 3 customers are over 50% of the company’s revenue, you’ll want to dive deeper into those relationships to make sure they are retained post-acquisition.</t>
  </si>
  <si>
    <t>Subscription models and policies</t>
  </si>
  <si>
    <t>Customer database, subscriber lists, &amp; sales records</t>
  </si>
  <si>
    <t>Sales records should be by item for last 12 months if possible.</t>
  </si>
  <si>
    <t>Purchasing &amp; refund policies</t>
  </si>
  <si>
    <t>Any satisfaction surveys or questionnaires sent to customers</t>
  </si>
  <si>
    <t>Useful to see if customers are happy and areas to improve.</t>
  </si>
  <si>
    <t>Read online reviews</t>
  </si>
  <si>
    <t>Look at their online reviews. Don’t ask the seller for them.</t>
  </si>
  <si>
    <t>Step 5: Contrarian Business Value Markers</t>
  </si>
  <si>
    <t>Get answers to the questions below with everything you've gotten so far. This will answer the question "Is this risk acceptable to me?" 
Remember: The answers are not deal-breakers. These are nice-to-haves. More is better. More risk --&gt; adjust your sale price or terms.</t>
  </si>
  <si>
    <t>Questions To Ask</t>
  </si>
  <si>
    <t>Risk Level</t>
  </si>
  <si>
    <t>Risk Ranking</t>
  </si>
  <si>
    <t>Financial Viability</t>
  </si>
  <si>
    <t>Does the business have increasing revenue streams to demonstrate the ability to generate income over time?</t>
  </si>
  <si>
    <t>The risk rank is a formula that is automatically calculated based on your answers at left. Do not edit.</t>
  </si>
  <si>
    <t>Does the business have professional bookkeeping and detailed financial records to ensure accuracy, transparency, and accountability?</t>
  </si>
  <si>
    <t>Are profit margins healthy compared to industry peers?</t>
  </si>
  <si>
    <t>Diversification</t>
  </si>
  <si>
    <t>Does the business have a diverse customer base to minimize reliance on a single client or market segment?</t>
  </si>
  <si>
    <t>Employee-Centric Risk</t>
  </si>
  <si>
    <t>Would it be a huge impact losing the largest customer have on this business?</t>
  </si>
  <si>
    <t>Cashflow vs Cashsuck</t>
  </si>
  <si>
    <t>What percentage of the business's total revenue was generated by its largest customer last year?</t>
  </si>
  <si>
    <t>Unfair Advantage</t>
  </si>
  <si>
    <t>How feasible would it be to find an alternative supplier for the business's most crucial external provider?</t>
  </si>
  <si>
    <t>Happy Customers</t>
  </si>
  <si>
    <t>Are there multiple revenue streams within the business to spread risk and ensure stability?</t>
  </si>
  <si>
    <t>Recurring Revenue</t>
  </si>
  <si>
    <t>Does the business operate in multiple geographical locations or markets to reduce exposure to regional economic fluctuations?</t>
  </si>
  <si>
    <t>Owner-Centric Risk</t>
  </si>
  <si>
    <t>How difficult would it be to replace the employee responsible for sales and marketing? product or service delivery? customer support?</t>
  </si>
  <si>
    <t>Upside Potential</t>
  </si>
  <si>
    <t>What happens when the key employee takes a vacation?</t>
  </si>
  <si>
    <t>Repeatable Processes &amp; Documentation</t>
  </si>
  <si>
    <t>Are there incentives or retention plans to motivate the key employee to stay with the business for the long term?</t>
  </si>
  <si>
    <t>Are strategies in place to establish a pool of potential hires for vital positions in case of key employee turnover?</t>
  </si>
  <si>
    <t>Cashflow vs Cash-Suck</t>
  </si>
  <si>
    <t>Does the business have a history of maintaining positive cash flow to cover operating expenses, debt obligations, and investments?</t>
  </si>
  <si>
    <t>Are there any outstanding debts or overdue payments that could indicate cash flow issues?</t>
  </si>
  <si>
    <t>Are there any seasonal fluctuations in cash flow, and if so, how does the business manage these fluctuations?</t>
  </si>
  <si>
    <t>Does the business charge for services or goods up-front first, and then provide service? Or is payment received after service is performed?</t>
  </si>
  <si>
    <t>Can the business extend the payment terms with certain vendors to manage cash flow more effectively?</t>
  </si>
  <si>
    <t>What distinguishes the business from others in the market, and how can it leverage that uniqueness?</t>
  </si>
  <si>
    <t>What motivates customers to choose this business over others?</t>
  </si>
  <si>
    <t>Does the business have a strong brand reputation that competitors find difficult to replicate?</t>
  </si>
  <si>
    <t>Are there any regulatory barriers or high entry costs that deter competitors from entering the market?</t>
  </si>
  <si>
    <t>Does the business have any patents, trademarks, or proprietary technology that sets it apart from competitors?</t>
  </si>
  <si>
    <t>Does the business have a talented and experienced team with specialized skills or knowledge that gives it a competitive edge?</t>
  </si>
  <si>
    <t>Does the business have a systematic method to routinely gauge customer satisfaction?</t>
  </si>
  <si>
    <t>What is the overall customer satisfaction rating or Net Promoter Score (NPS) of the business?</t>
  </si>
  <si>
    <t>Are there any online reviews or ratings on platforms like Google, Yelp, or industry-specific forums that reflect positively on the business?</t>
  </si>
  <si>
    <t>Are there any customer testimonials or case studies available that showcase positive experiences with the business?</t>
  </si>
  <si>
    <t>Does the business have a track record of repeat customers or long-term client relationships?</t>
  </si>
  <si>
    <t>Has the business received any awards or recognition for outstanding customer service or client satisfaction?</t>
  </si>
  <si>
    <t>How much recurring revenue does the business collect on a regular basis (monthly, quarterly, annually)?</t>
  </si>
  <si>
    <t>Does the business offer subscription-based services or products?</t>
  </si>
  <si>
    <t>Are there any long-term contracts with customers that ensure a steady income stream?</t>
  </si>
  <si>
    <t>Are there any automatic billing systems or subscription renewal processes in place?</t>
  </si>
  <si>
    <t>Is there potential for transitioning the business to a subscription or membership model where customers are billed in advance?</t>
  </si>
  <si>
    <t>Is the business heavily dependent on the owner's presence for day-to-day operations and decision-making?</t>
  </si>
  <si>
    <t>Has the owner delegated key responsibilities and tasks to employees or managers, reducing reliance on their individual efforts?</t>
  </si>
  <si>
    <t>Does the business generate all of its revenue through word of mouth indicating reliance on the current owner? What percentage of sales is the owner responsible for?</t>
  </si>
  <si>
    <t>When was the last time the owner took a 2 week or month long vacation (and how often did they check in on the business during that time)?</t>
  </si>
  <si>
    <t>Does the business offer opportunities for growth through market expansion, product diversification, or operational improvements?</t>
  </si>
  <si>
    <t>Can the business successfully replicate its operations in another market?</t>
  </si>
  <si>
    <t>Does the business offer a standardized product and/or service that can scale, or is a customized solution provided for customers?</t>
  </si>
  <si>
    <t>Does the industry have favorable trends or projections that indicate future growth opportunities?</t>
  </si>
  <si>
    <t>Could the business sell more to existing customers through complimentary products and/or services?</t>
  </si>
  <si>
    <t>How difficult would it be for the business to 5x sales?</t>
  </si>
  <si>
    <t>Could the business reach a new customer base by introducing a new sales channel?</t>
  </si>
  <si>
    <t>Are there documented standard operating procedures (SOPs) in place for key business functions (ie customer service, hiring, sales, etc)?</t>
  </si>
  <si>
    <t>Is there a clear organizational structure with defined roles and responsibilities for employees?</t>
  </si>
  <si>
    <t>Are there established systems and tools in place to streamline operations and track performance metrics?</t>
  </si>
  <si>
    <t>Can the business provide evidence of repeatable sales or marketing processes that consistently generate leads and conversions?</t>
  </si>
  <si>
    <t>Step 6: Close the deal.</t>
  </si>
  <si>
    <t xml:space="preserve">Use the checklist below to know what next steps are for the deal to close. These are not in chronological order.
Disclaimer: Every transaction is unique so this list is not comprehensive. There are items that may be specific to your deal. You can add them below. </t>
  </si>
  <si>
    <t>Action Item</t>
  </si>
  <si>
    <t>Who's Responsible</t>
  </si>
  <si>
    <t>Date Due</t>
  </si>
  <si>
    <t>Links (where applicable)</t>
  </si>
  <si>
    <t>Business Performance</t>
  </si>
  <si>
    <t>Request information (due diligence)</t>
  </si>
  <si>
    <t>Buyer</t>
  </si>
  <si>
    <t>Provide information (due diligence)</t>
  </si>
  <si>
    <t>Seller</t>
  </si>
  <si>
    <t>Review information</t>
  </si>
  <si>
    <t>Remove business performance contingency</t>
  </si>
  <si>
    <t>Cash Deposits</t>
  </si>
  <si>
    <t>Earnest deposit upon acceptance sent to escrow</t>
  </si>
  <si>
    <t>Earnest deposit upon escrow instructions sent to escrow</t>
  </si>
  <si>
    <t>Balance of cash deposit sent to escrow</t>
  </si>
  <si>
    <t>Escrow Checks</t>
  </si>
  <si>
    <t>Sign escrow instructions</t>
  </si>
  <si>
    <t>Buyer &amp; Seller</t>
  </si>
  <si>
    <t>Bulk sale compliance (depending upon state)</t>
  </si>
  <si>
    <t>Escrow Holder</t>
  </si>
  <si>
    <t>Obtain state tax release (depending upon state)</t>
  </si>
  <si>
    <t>Obtain sales tax release (depending upon state and if applicable)</t>
  </si>
  <si>
    <t>Obtain state lien search report</t>
  </si>
  <si>
    <t>Submit complete loan application</t>
  </si>
  <si>
    <t>Submit supporting financial information for company</t>
  </si>
  <si>
    <t>Submit supporting financial information for buyer</t>
  </si>
  <si>
    <t>Get written loan commitment from lender and send to escrow</t>
  </si>
  <si>
    <t>Get loan underwritten</t>
  </si>
  <si>
    <t>Remove loan contingency</t>
  </si>
  <si>
    <t>Fund escrow with loan proceeds</t>
  </si>
  <si>
    <t>Lender</t>
  </si>
  <si>
    <t>Lease</t>
  </si>
  <si>
    <t>Notify landlord of pending sale</t>
  </si>
  <si>
    <t>Submit buyer info to landlord</t>
  </si>
  <si>
    <t>Meet with landlord</t>
  </si>
  <si>
    <t>Execute assignment or new lease</t>
  </si>
  <si>
    <t>Remove lease contingency</t>
  </si>
  <si>
    <t>Legal / Taxes</t>
  </si>
  <si>
    <t>Form new entity LLC / corporation
- Name reserved with the Secretary of State
- Article of Incorporation/Organization filed</t>
  </si>
  <si>
    <t>Agree to allocation of purchase price</t>
  </si>
  <si>
    <t>Get required inspections completed</t>
  </si>
  <si>
    <t>Complete Beneficial Ownership Information Reporting</t>
  </si>
  <si>
    <t>Close business tax accounts</t>
  </si>
  <si>
    <t>File final tax returns with the following: 
- Department of Tax &amp; Fee Administration (DTFA)
- Employment Development Department (EDD)
- County Final Business Tax Statement. (FTB)</t>
  </si>
  <si>
    <t>File an ‘Abandonment of Fictitious Business Name’ Statement with Clerk of the
County where business is located.</t>
  </si>
  <si>
    <t>File a ‘Fictitious Business Name’ Statement with the Clerk of the County where business is located</t>
  </si>
  <si>
    <t>Misc</t>
  </si>
  <si>
    <t>Add any extra items here</t>
  </si>
  <si>
    <t>Signed Documents</t>
  </si>
  <si>
    <t xml:space="preserve">Purchase Agreement </t>
  </si>
  <si>
    <t xml:space="preserve">Buyer Disclosures </t>
  </si>
  <si>
    <t xml:space="preserve">Seller Disclosures </t>
  </si>
  <si>
    <t xml:space="preserve">Promissory Note (e.g. seller financing) </t>
  </si>
  <si>
    <t xml:space="preserve">Non-Compete &amp; Non-Solicitation Agreement </t>
  </si>
  <si>
    <t xml:space="preserve">Bill of Sale (if asset sale) </t>
  </si>
  <si>
    <t xml:space="preserve">Transfer of Stock (if stock sale ) </t>
  </si>
  <si>
    <t xml:space="preserve">Transfer of Member Interest (if LLC sale) </t>
  </si>
  <si>
    <t>Employment or Consulting Agreement (if required with prior owner continuing as employee)</t>
  </si>
  <si>
    <t>Step 7: Start running the business.</t>
  </si>
  <si>
    <r>
      <rPr>
        <b/>
        <sz val="11"/>
        <color rgb="FF000000"/>
        <rFont val="Roboto"/>
      </rPr>
      <t xml:space="preserve">Use the checklist below to cover most of your bases for starting on day 0.
Disclaimer: Every business is different so not </t>
    </r>
    <r>
      <rPr>
        <b/>
        <i/>
        <sz val="11"/>
        <color rgb="FF000000"/>
        <rFont val="Roboto"/>
      </rPr>
      <t>all</t>
    </r>
    <r>
      <rPr>
        <b/>
        <sz val="11"/>
        <color rgb="FF000000"/>
        <rFont val="Roboto"/>
      </rPr>
      <t xml:space="preserve"> of these will be required. And we highly recommend adding in your own items below. </t>
    </r>
  </si>
  <si>
    <t>Stock vs Asset Purchases</t>
  </si>
  <si>
    <t>Customers</t>
  </si>
  <si>
    <t>Transfer CRM and all other software</t>
  </si>
  <si>
    <t xml:space="preserve">Most of the time when buying a business, you're buying the asset itself - aka the business. This means the old company no longer exists. So you'll have to recreate the LLC, payroll, rehire employees, etc. The checklist at left is based on an asset purchase. If you are purchasing the stock, you are purchasing the business as a whole - and not recreating it. So you'll carry over all the existing items. </t>
  </si>
  <si>
    <t>Get customer lists</t>
  </si>
  <si>
    <t>Get vendor lists</t>
  </si>
  <si>
    <t>Copies of standard communications and correspondence</t>
  </si>
  <si>
    <t>Any customer research data, white papers, or research</t>
  </si>
  <si>
    <t>An organization chart showing all employee contact info, bios on employees, job descriptions</t>
  </si>
  <si>
    <t>Setup payroll service</t>
  </si>
  <si>
    <t>Re-hire employees</t>
  </si>
  <si>
    <t>Establish employee benefits</t>
  </si>
  <si>
    <t>Create employee manual</t>
  </si>
  <si>
    <t>Meet with employees</t>
  </si>
  <si>
    <t>Optional: Assess if you want to give employees a raise or bonus. Sometimes this is expected because you are new to the business.</t>
  </si>
  <si>
    <t>Financial</t>
  </si>
  <si>
    <t>Establish bank account</t>
  </si>
  <si>
    <t>Obtain credit card machines and merchant accounts</t>
  </si>
  <si>
    <t>Get access to payment merchant processors</t>
  </si>
  <si>
    <t>Apply for EIN from IRS</t>
  </si>
  <si>
    <t>File Fictitious Business Name statement</t>
  </si>
  <si>
    <t>Obtain/transfer licenses and permits required by:
- Employment Development Department – employment tax
withholding
- Department of Tax &amp; Fee Adminstration – sales tax resale permit
- City/County Business Registration – business license and permit</t>
  </si>
  <si>
    <t>Apply for business license</t>
  </si>
  <si>
    <t>Apply for retail permit</t>
  </si>
  <si>
    <t>Apply for state payroll tax account</t>
  </si>
  <si>
    <t>Obtain state tax certificate</t>
  </si>
  <si>
    <t>Finalize list of accounts receivable and accounts payable</t>
  </si>
  <si>
    <t>Obtain resale license</t>
  </si>
  <si>
    <t>Owner Transition</t>
  </si>
  <si>
    <t>Set plan for transfer of knowledge (systems, passwords, SOPs, etc)</t>
  </si>
  <si>
    <t xml:space="preserve">Create a plan for training, if included in your agreement </t>
  </si>
  <si>
    <t xml:space="preserve">This is applicable if you included any sort of transition or offboarding in your PA. </t>
  </si>
  <si>
    <t>Inspect equipment and other assets</t>
  </si>
  <si>
    <t xml:space="preserve">Use the list of assets as your guide for what you need to transfer over if you're unsure of everything needed. </t>
  </si>
  <si>
    <t>Agree on final inventory amount</t>
  </si>
  <si>
    <t>Conduct phase 1 environmental report (if required)</t>
  </si>
  <si>
    <t>Arrange insurance (property, liability, worker’s com, etc.)</t>
  </si>
  <si>
    <t>Transfer telephone number</t>
  </si>
  <si>
    <t>Switch gas &amp; electric</t>
  </si>
  <si>
    <t>Switch water</t>
  </si>
  <si>
    <t>Switch garbage</t>
  </si>
  <si>
    <t>Get the keys!</t>
  </si>
  <si>
    <t>Access to security and alarm systems</t>
  </si>
  <si>
    <t xml:space="preserve">Optional: Pay an employee a bonus to help with the transition. Spend your time on important tasks and not on chasing down misc items. </t>
  </si>
  <si>
    <t>Transfer website, domain, and other IP</t>
  </si>
  <si>
    <t>Finalize assignment of third-party contracts</t>
  </si>
  <si>
    <t>Remove other contingencies</t>
  </si>
  <si>
    <t>Passwords for all relevant accounts</t>
  </si>
  <si>
    <t>Purchase supplies or inventory needed in first week</t>
  </si>
  <si>
    <t>Add your own here</t>
  </si>
  <si>
    <t>13 Weekly Cash Flow Projection</t>
  </si>
  <si>
    <t>[Company Name]</t>
  </si>
  <si>
    <t>Current Week</t>
  </si>
  <si>
    <t>Week 2</t>
  </si>
  <si>
    <t>Week 3</t>
  </si>
  <si>
    <t>Week 4</t>
  </si>
  <si>
    <t>Week 5</t>
  </si>
  <si>
    <t>Week 6</t>
  </si>
  <si>
    <t>Week 7</t>
  </si>
  <si>
    <t>Week 8</t>
  </si>
  <si>
    <t>Week 9</t>
  </si>
  <si>
    <t>Week 10</t>
  </si>
  <si>
    <t>Week 11</t>
  </si>
  <si>
    <t>Week 12</t>
  </si>
  <si>
    <t>Week 13</t>
  </si>
  <si>
    <t>Projected</t>
  </si>
  <si>
    <t>Cash on hand (beginning of month)</t>
  </si>
  <si>
    <t>CASH RECEIPTS</t>
  </si>
  <si>
    <t>Cash sales</t>
  </si>
  <si>
    <t>Returns and allowances</t>
  </si>
  <si>
    <t>Collections on accounts receivable</t>
  </si>
  <si>
    <t>Interest, other income</t>
  </si>
  <si>
    <t>Loan proceeds</t>
  </si>
  <si>
    <t>Owner contributions</t>
  </si>
  <si>
    <t>TOTAL CASH RECEIPTS</t>
  </si>
  <si>
    <t>Total cash available</t>
  </si>
  <si>
    <t>CASH PAID OUT</t>
  </si>
  <si>
    <t>Advertising</t>
  </si>
  <si>
    <t>Commissions and fees</t>
  </si>
  <si>
    <t>Contract labor</t>
  </si>
  <si>
    <t>Employee benefit programs</t>
  </si>
  <si>
    <t>Insurance (other than health)</t>
  </si>
  <si>
    <t>Interest expense</t>
  </si>
  <si>
    <t>Materials and supplies (in COGS)</t>
  </si>
  <si>
    <t>Meals and entertainment</t>
  </si>
  <si>
    <t>Mortgage interest</t>
  </si>
  <si>
    <t>Office expense</t>
  </si>
  <si>
    <t>Other interest expense</t>
  </si>
  <si>
    <t>Pension and profit-sharing plan</t>
  </si>
  <si>
    <t>Purchases for resale</t>
  </si>
  <si>
    <t>Rent or lease</t>
  </si>
  <si>
    <t>Rent or lease: vehicles, equipment</t>
  </si>
  <si>
    <t>Repairs and maintenance</t>
  </si>
  <si>
    <t>Supplies (not in COGS)</t>
  </si>
  <si>
    <t>Taxes and licenses</t>
  </si>
  <si>
    <t>Travel</t>
  </si>
  <si>
    <t>Utilities</t>
  </si>
  <si>
    <t>Wages (less emp. credits)</t>
  </si>
  <si>
    <t>Other expenses</t>
  </si>
  <si>
    <t>Miscellaneous</t>
  </si>
  <si>
    <t>SUBTOTAL</t>
  </si>
  <si>
    <t>OTHER CASH PAID OUT</t>
  </si>
  <si>
    <t>Loan principal payment</t>
  </si>
  <si>
    <t>Capital purchases</t>
  </si>
  <si>
    <t>Other startup costs</t>
  </si>
  <si>
    <t>To reserve and/or escrow</t>
  </si>
  <si>
    <t>Owners' withdrawal</t>
  </si>
  <si>
    <t>TOTAL CASH PAID OUT</t>
  </si>
  <si>
    <t>Cash on hand (end of month)</t>
  </si>
  <si>
    <t>MONTHLY Cash Flow Projection</t>
  </si>
  <si>
    <t>Company Name</t>
  </si>
  <si>
    <t>Starting date</t>
  </si>
  <si>
    <t>Cash balance alert minimum</t>
  </si>
  <si>
    <t>Beginning</t>
  </si>
  <si>
    <t>Total</t>
  </si>
  <si>
    <t>Cash on hand 
(beginning of month)</t>
  </si>
  <si>
    <t xml:space="preserve"> </t>
  </si>
  <si>
    <t>OTHER OPERATING DATA</t>
  </si>
  <si>
    <t>Sales volume (dollars)</t>
  </si>
  <si>
    <t>Accounts receivable balance</t>
  </si>
  <si>
    <t>Bad debt balance</t>
  </si>
  <si>
    <t>Inventory on hand</t>
  </si>
  <si>
    <t>Accounts payable balance</t>
  </si>
  <si>
    <t>Depreciation</t>
  </si>
  <si>
    <t>BONUS: Working Capital Needs</t>
  </si>
  <si>
    <t>Use the worksheet below to calculate your working capital needs. If you do not have sufficient working capital, you will run out of money quickly. Please note that this spreadsheet is in Beta and fairly simplistic. Consult with your professional financial advisors to be sure.</t>
  </si>
  <si>
    <t>Acquired Cash</t>
  </si>
  <si>
    <t>Standard Payment Terms</t>
  </si>
  <si>
    <t>Net 30</t>
  </si>
  <si>
    <t>Acquired Accounts Receivable</t>
  </si>
  <si>
    <t>Starting Month</t>
  </si>
  <si>
    <t>Acquired Accounts Payable</t>
  </si>
  <si>
    <t>Immediate Cash Infusion</t>
  </si>
  <si>
    <t>Starting Cash</t>
  </si>
  <si>
    <t>Total Monthly Cash Outflow</t>
  </si>
  <si>
    <t>Net Sales</t>
  </si>
  <si>
    <t>Cash Collected On Net Sales</t>
  </si>
  <si>
    <t>Cash Collected on Acquired AR</t>
  </si>
  <si>
    <t>Acquired AP Paid</t>
  </si>
  <si>
    <t>Ending Cash</t>
  </si>
  <si>
    <t>AR Collection Schedule</t>
  </si>
  <si>
    <t>Note: The below schedule assumes all payments received at the agreed upon time (immediate, 30 days, 60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</si>
</sst>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2" formatCode="_(&quot;$&quot;* #,##0_);_(&quot;$&quot;* \(#,##0\);_(&quot;$&quot;* &quot;-&quot;_);_(@_)"/>
    <numFmt numFmtId="41" formatCode="_(* #,##0_);_(* \(#,##0\);_(* &quot;-&quot;_);_(@_)"/>
    <numFmt numFmtId="164" formatCode="m/d/yy"/>
    <numFmt numFmtId="165" formatCode="&quot;$&quot;#,##0"/>
    <numFmt numFmtId="166" formatCode="[$$-C09]#,##0;\-[$$-C09]#,##0"/>
    <numFmt numFmtId="167" formatCode="&quot;$&quot;#,##0.00"/>
    <numFmt numFmtId="168" formatCode="_(* #,##0_);_(* \(#,##0\);_(* &quot;-&quot;??_);_(@_)"/>
    <numFmt numFmtId="169" formatCode="mmmm"/>
    <numFmt numFmtId="170" formatCode="m&quot;/&quot;yyyy"/>
    <numFmt numFmtId="171" formatCode="mmm&quot;-&quot;yy"/>
  </numFmts>
  <fonts count="71" x14ac:knownFonts="1">
    <font>
      <sz val="10"/>
      <color rgb="FF000000"/>
      <name val="Arial"/>
      <scheme val="minor"/>
    </font>
    <font>
      <b/>
      <sz val="15"/>
      <color rgb="FFFFFFFF"/>
      <name val="Roboto"/>
    </font>
    <font>
      <sz val="12"/>
      <color theme="1"/>
      <name val="Roboto"/>
    </font>
    <font>
      <sz val="10"/>
      <color theme="1"/>
      <name val="Arial"/>
    </font>
    <font>
      <b/>
      <sz val="11"/>
      <color rgb="FF000000"/>
      <name val="Roboto"/>
    </font>
    <font>
      <sz val="10"/>
      <color theme="1"/>
      <name val="Arial"/>
      <scheme val="minor"/>
    </font>
    <font>
      <b/>
      <sz val="10"/>
      <color theme="1"/>
      <name val="Arial"/>
      <scheme val="minor"/>
    </font>
    <font>
      <b/>
      <sz val="11"/>
      <color rgb="FFFFFFFF"/>
      <name val="Arial"/>
      <scheme val="minor"/>
    </font>
    <font>
      <b/>
      <sz val="12"/>
      <color rgb="FFFFFFFF"/>
      <name val="Roboto"/>
    </font>
    <font>
      <sz val="11"/>
      <color rgb="FFFFFFFF"/>
      <name val="Arial"/>
      <scheme val="minor"/>
    </font>
    <font>
      <sz val="11"/>
      <color rgb="FF000000"/>
      <name val="Arial"/>
      <scheme val="minor"/>
    </font>
    <font>
      <b/>
      <sz val="11"/>
      <color rgb="FF000000"/>
      <name val="Arial"/>
      <scheme val="minor"/>
    </font>
    <font>
      <sz val="10"/>
      <name val="Arial"/>
    </font>
    <font>
      <sz val="11"/>
      <color rgb="FF999999"/>
      <name val="Arial"/>
      <scheme val="minor"/>
    </font>
    <font>
      <b/>
      <sz val="18"/>
      <color rgb="FFFFFFFF"/>
      <name val="Montserrat"/>
    </font>
    <font>
      <sz val="14"/>
      <color rgb="FF000000"/>
      <name val="Arial"/>
    </font>
    <font>
      <u/>
      <sz val="14"/>
      <color rgb="FF0000FF"/>
      <name val="Arial"/>
    </font>
    <font>
      <i/>
      <sz val="12"/>
      <color rgb="FF000000"/>
      <name val="Arial"/>
    </font>
    <font>
      <b/>
      <sz val="10"/>
      <color rgb="FF000000"/>
      <name val="Arial"/>
      <scheme val="minor"/>
    </font>
    <font>
      <b/>
      <sz val="10"/>
      <color theme="1"/>
      <name val="Arial"/>
    </font>
    <font>
      <b/>
      <i/>
      <sz val="10"/>
      <color theme="1"/>
      <name val="Arial"/>
    </font>
    <font>
      <b/>
      <sz val="10"/>
      <color rgb="FFFF0000"/>
      <name val="Arial"/>
    </font>
    <font>
      <b/>
      <sz val="13"/>
      <color rgb="FFFFFFFF"/>
      <name val="Arial"/>
    </font>
    <font>
      <b/>
      <i/>
      <sz val="10"/>
      <color rgb="FF000000"/>
      <name val="Arial"/>
      <scheme val="minor"/>
    </font>
    <font>
      <b/>
      <sz val="13"/>
      <color rgb="FFFFFFFF"/>
      <name val="Arial"/>
      <scheme val="minor"/>
    </font>
    <font>
      <b/>
      <sz val="10"/>
      <color rgb="FFFFFFFF"/>
      <name val="Arial"/>
    </font>
    <font>
      <b/>
      <sz val="10"/>
      <color rgb="FFFFFFFF"/>
      <name val="Arial"/>
      <scheme val="minor"/>
    </font>
    <font>
      <sz val="20"/>
      <color rgb="FF000000"/>
      <name val="Arial"/>
    </font>
    <font>
      <sz val="10"/>
      <color rgb="FF000000"/>
      <name val="Arial"/>
    </font>
    <font>
      <sz val="18"/>
      <color theme="1"/>
      <name val="Montserrat"/>
    </font>
    <font>
      <sz val="10"/>
      <color theme="1"/>
      <name val="Montserrat"/>
    </font>
    <font>
      <u/>
      <sz val="10"/>
      <color theme="1"/>
      <name val="Montserrat"/>
    </font>
    <font>
      <b/>
      <sz val="10"/>
      <color rgb="FFFFFFFF"/>
      <name val="Montserrat"/>
    </font>
    <font>
      <b/>
      <sz val="11"/>
      <color rgb="FFFFFFFF"/>
      <name val="Poppins"/>
    </font>
    <font>
      <sz val="10"/>
      <color theme="1"/>
      <name val="Poppins"/>
    </font>
    <font>
      <b/>
      <sz val="10"/>
      <color rgb="FFFFFFFF"/>
      <name val="Poppins"/>
    </font>
    <font>
      <b/>
      <sz val="10"/>
      <color theme="1"/>
      <name val="Poppins"/>
    </font>
    <font>
      <sz val="10"/>
      <color theme="1"/>
      <name val="Poppins"/>
    </font>
    <font>
      <b/>
      <sz val="10"/>
      <color rgb="FFFFFFFF"/>
      <name val="Poppins"/>
    </font>
    <font>
      <i/>
      <sz val="10"/>
      <color theme="1"/>
      <name val="Montserrat"/>
    </font>
    <font>
      <b/>
      <sz val="10"/>
      <color theme="1"/>
      <name val="Poppins"/>
    </font>
    <font>
      <sz val="10"/>
      <color rgb="FFFFFFFF"/>
      <name val="Montserrat"/>
    </font>
    <font>
      <sz val="8"/>
      <color theme="1"/>
      <name val="Poppins"/>
    </font>
    <font>
      <b/>
      <sz val="11"/>
      <color rgb="FFFFFFFF"/>
      <name val="Roboto"/>
    </font>
    <font>
      <b/>
      <sz val="10"/>
      <color rgb="FFFFFFFF"/>
      <name val="Arial"/>
      <scheme val="minor"/>
    </font>
    <font>
      <u/>
      <sz val="10"/>
      <color rgb="FF0000FF"/>
      <name val="Arial"/>
    </font>
    <font>
      <sz val="10"/>
      <color rgb="FF000000"/>
      <name val="Arial"/>
    </font>
    <font>
      <i/>
      <sz val="9"/>
      <color theme="1"/>
      <name val="Arial"/>
      <scheme val="minor"/>
    </font>
    <font>
      <b/>
      <sz val="10"/>
      <color rgb="FFFFFFFF"/>
      <name val="Roboto"/>
    </font>
    <font>
      <sz val="8"/>
      <color theme="1"/>
      <name val="Arial"/>
    </font>
    <font>
      <b/>
      <sz val="16"/>
      <color theme="1"/>
      <name val="Open Sans"/>
    </font>
    <font>
      <b/>
      <sz val="10"/>
      <color theme="1"/>
      <name val="Arial"/>
    </font>
    <font>
      <sz val="10"/>
      <color theme="1"/>
      <name val="Arial"/>
    </font>
    <font>
      <sz val="8"/>
      <color rgb="FF000000"/>
      <name val="Arial"/>
    </font>
    <font>
      <b/>
      <sz val="10"/>
      <color theme="0"/>
      <name val="Arial"/>
    </font>
    <font>
      <b/>
      <sz val="11"/>
      <color theme="0"/>
      <name val="Arial"/>
    </font>
    <font>
      <sz val="11"/>
      <color theme="0"/>
      <name val="Arial"/>
    </font>
    <font>
      <b/>
      <sz val="8"/>
      <color rgb="FF000000"/>
      <name val="Arial"/>
    </font>
    <font>
      <b/>
      <sz val="8"/>
      <color theme="1"/>
      <name val="Arial"/>
    </font>
    <font>
      <b/>
      <sz val="16"/>
      <color rgb="FF3F3F3F"/>
      <name val="Open Sans"/>
    </font>
    <font>
      <sz val="8"/>
      <color theme="0"/>
      <name val="Arial"/>
    </font>
    <font>
      <b/>
      <sz val="10"/>
      <color rgb="FFFFFFFF"/>
      <name val="Arial"/>
    </font>
    <font>
      <sz val="10"/>
      <color theme="0"/>
      <name val="Arial"/>
    </font>
    <font>
      <sz val="10"/>
      <color rgb="FFBFBFBF"/>
      <name val="Arial"/>
    </font>
    <font>
      <b/>
      <sz val="10"/>
      <color rgb="FFBFBFBF"/>
      <name val="Arial"/>
    </font>
    <font>
      <i/>
      <sz val="10"/>
      <color theme="1"/>
      <name val="Arial"/>
    </font>
    <font>
      <i/>
      <sz val="10"/>
      <color rgb="FF000000"/>
      <name val="Arial"/>
    </font>
    <font>
      <b/>
      <sz val="10"/>
      <color rgb="FF000000"/>
      <name val="Arial"/>
    </font>
    <font>
      <b/>
      <sz val="10"/>
      <color theme="1"/>
      <name val="Montserrat"/>
    </font>
    <font>
      <b/>
      <u/>
      <sz val="10"/>
      <color rgb="FF1155CC"/>
      <name val="Montserrat"/>
    </font>
    <font>
      <b/>
      <i/>
      <sz val="11"/>
      <color rgb="FF000000"/>
      <name val="Roboto"/>
    </font>
  </fonts>
  <fills count="14">
    <fill>
      <patternFill patternType="none"/>
    </fill>
    <fill>
      <patternFill patternType="gray125"/>
    </fill>
    <fill>
      <patternFill patternType="solid">
        <fgColor rgb="FF27BABC"/>
        <bgColor rgb="FF27BABC"/>
      </patternFill>
    </fill>
    <fill>
      <patternFill patternType="solid">
        <fgColor rgb="FFD9D9D9"/>
        <bgColor rgb="FFD9D9D9"/>
      </patternFill>
    </fill>
    <fill>
      <patternFill patternType="solid">
        <fgColor rgb="FF000000"/>
        <bgColor rgb="FF000000"/>
      </patternFill>
    </fill>
    <fill>
      <patternFill patternType="solid">
        <fgColor rgb="FFFFFFFF"/>
        <bgColor rgb="FFFFFFFF"/>
      </patternFill>
    </fill>
    <fill>
      <patternFill patternType="solid">
        <fgColor rgb="FF1EBBBD"/>
        <bgColor rgb="FF1EBBBD"/>
      </patternFill>
    </fill>
    <fill>
      <patternFill patternType="solid">
        <fgColor theme="0"/>
        <bgColor theme="0"/>
      </patternFill>
    </fill>
    <fill>
      <patternFill patternType="solid">
        <fgColor theme="1"/>
        <bgColor theme="1"/>
      </patternFill>
    </fill>
    <fill>
      <patternFill patternType="solid">
        <fgColor rgb="FFF3F3F3"/>
        <bgColor rgb="FFF3F3F3"/>
      </patternFill>
    </fill>
    <fill>
      <patternFill patternType="solid">
        <fgColor rgb="FFF2F2F2"/>
        <bgColor rgb="FFF2F2F2"/>
      </patternFill>
    </fill>
    <fill>
      <patternFill patternType="solid">
        <fgColor rgb="FF1CBBBD"/>
        <bgColor rgb="FF1CBBBD"/>
      </patternFill>
    </fill>
    <fill>
      <patternFill patternType="solid">
        <fgColor rgb="FFC0C0C0"/>
        <bgColor rgb="FFC0C0C0"/>
      </patternFill>
    </fill>
    <fill>
      <patternFill patternType="solid">
        <fgColor rgb="FFBFBFBF"/>
        <bgColor rgb="FFBFBFBF"/>
      </patternFill>
    </fill>
  </fills>
  <borders count="93">
    <border>
      <left/>
      <right/>
      <top/>
      <bottom/>
      <diagonal/>
    </border>
    <border>
      <left/>
      <right style="thin">
        <color rgb="FF27BABC"/>
      </right>
      <top/>
      <bottom/>
      <diagonal/>
    </border>
    <border>
      <left style="thin">
        <color rgb="FF27BABC"/>
      </left>
      <right style="thin">
        <color rgb="FF27BABC"/>
      </right>
      <top/>
      <bottom/>
      <diagonal/>
    </border>
    <border>
      <left style="thin">
        <color rgb="FF27BABC"/>
      </left>
      <right style="thin">
        <color rgb="FF27BABC"/>
      </right>
      <top style="thin">
        <color rgb="FF27BABC"/>
      </top>
      <bottom style="thin">
        <color rgb="FF27BABC"/>
      </bottom>
      <diagonal/>
    </border>
    <border>
      <left style="thin">
        <color rgb="FF27BABC"/>
      </left>
      <right/>
      <top/>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right style="thin">
        <color rgb="FFFFFFFF"/>
      </right>
      <top style="thin">
        <color rgb="FFFFFFFF"/>
      </top>
      <bottom/>
      <diagonal/>
    </border>
    <border>
      <left style="thin">
        <color rgb="FFFFFFFF"/>
      </left>
      <right style="thin">
        <color rgb="FFFFFFFF"/>
      </right>
      <top style="thin">
        <color rgb="FFFFFFFF"/>
      </top>
      <bottom/>
      <diagonal/>
    </border>
    <border>
      <left style="thin">
        <color rgb="FFFFFFFF"/>
      </left>
      <right/>
      <top/>
      <bottom style="thin">
        <color rgb="FFFFFFFF"/>
      </bottom>
      <diagonal/>
    </border>
    <border>
      <left/>
      <right/>
      <top/>
      <bottom style="thin">
        <color rgb="FFFFFFFF"/>
      </bottom>
      <diagonal/>
    </border>
    <border>
      <left/>
      <right style="thin">
        <color rgb="FFFFFFFF"/>
      </right>
      <top/>
      <bottom style="thin">
        <color rgb="FFFFFFFF"/>
      </bottom>
      <diagonal/>
    </border>
    <border>
      <left style="thin">
        <color rgb="FFB7B7B7"/>
      </left>
      <right style="thin">
        <color rgb="FFB7B7B7"/>
      </right>
      <top style="thin">
        <color rgb="FFB7B7B7"/>
      </top>
      <bottom style="thin">
        <color rgb="FFB7B7B7"/>
      </bottom>
      <diagonal/>
    </border>
    <border>
      <left/>
      <right style="thin">
        <color rgb="FFB7B7B7"/>
      </right>
      <top style="thin">
        <color rgb="FFB7B7B7"/>
      </top>
      <bottom style="thin">
        <color rgb="FFB7B7B7"/>
      </bottom>
      <diagonal/>
    </border>
    <border>
      <left style="thin">
        <color rgb="FFB7B7B7"/>
      </left>
      <right style="thin">
        <color rgb="FFB7B7B7"/>
      </right>
      <top style="thin">
        <color rgb="FFB7B7B7"/>
      </top>
      <bottom/>
      <diagonal/>
    </border>
    <border>
      <left style="thin">
        <color rgb="FFB7B7B7"/>
      </left>
      <right style="thin">
        <color rgb="FFB7B7B7"/>
      </right>
      <top/>
      <bottom style="thin">
        <color rgb="FFB7B7B7"/>
      </bottom>
      <diagonal/>
    </border>
    <border>
      <left/>
      <right style="thin">
        <color rgb="FFFFFFFF"/>
      </right>
      <top style="thin">
        <color rgb="FFFFFFFF"/>
      </top>
      <bottom style="thin">
        <color rgb="FFFFFFFF"/>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FFFFFF"/>
      </left>
      <right/>
      <top style="thin">
        <color rgb="FFFFFFFF"/>
      </top>
      <bottom/>
      <diagonal/>
    </border>
    <border>
      <left style="thin">
        <color rgb="FFFFFFFF"/>
      </left>
      <right/>
      <top/>
      <bottom/>
      <diagonal/>
    </border>
    <border>
      <left/>
      <right style="thin">
        <color rgb="FFFFFFFF"/>
      </right>
      <top/>
      <bottom/>
      <diagonal/>
    </border>
    <border>
      <left style="thin">
        <color rgb="FF000000"/>
      </left>
      <right/>
      <top style="thin">
        <color rgb="FFFFFFFF"/>
      </top>
      <bottom style="thin">
        <color rgb="FF000000"/>
      </bottom>
      <diagonal/>
    </border>
    <border>
      <left/>
      <right style="thin">
        <color rgb="FF000000"/>
      </right>
      <top style="thin">
        <color rgb="FFFFFFFF"/>
      </top>
      <bottom style="thin">
        <color rgb="FF000000"/>
      </bottom>
      <diagonal/>
    </border>
    <border>
      <left style="thin">
        <color rgb="FFFFFFFF"/>
      </left>
      <right style="thin">
        <color rgb="FFFFFFFF"/>
      </right>
      <top/>
      <bottom/>
      <diagonal/>
    </border>
    <border>
      <left style="thin">
        <color rgb="FFFFFFFF"/>
      </left>
      <right style="thin">
        <color rgb="FFFFFFFF"/>
      </right>
      <top style="thin">
        <color rgb="FF000000"/>
      </top>
      <bottom style="thin">
        <color rgb="FFFFFFFF"/>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FFFFFF"/>
      </left>
      <right style="thin">
        <color rgb="FFFFFFFF"/>
      </right>
      <top/>
      <bottom style="thin">
        <color rgb="FFFFFFFF"/>
      </bottom>
      <diagonal/>
    </border>
    <border>
      <left/>
      <right/>
      <top style="thin">
        <color rgb="FFFFFFFF"/>
      </top>
      <bottom style="thin">
        <color rgb="FFFFFFFF"/>
      </bottom>
      <diagonal/>
    </border>
    <border>
      <left/>
      <right style="thin">
        <color rgb="FFFFFFFF"/>
      </right>
      <top style="thin">
        <color rgb="FF000000"/>
      </top>
      <bottom/>
      <diagonal/>
    </border>
    <border>
      <left style="thin">
        <color rgb="FF000000"/>
      </left>
      <right/>
      <top/>
      <bottom style="thin">
        <color rgb="FFFFFFFF"/>
      </bottom>
      <diagonal/>
    </border>
    <border>
      <left/>
      <right/>
      <top style="thin">
        <color rgb="FF000000"/>
      </top>
      <bottom/>
      <diagonal/>
    </border>
    <border>
      <left/>
      <right style="thin">
        <color rgb="FF666666"/>
      </right>
      <top/>
      <bottom/>
      <diagonal/>
    </border>
    <border>
      <left style="thin">
        <color rgb="FF000000"/>
      </left>
      <right/>
      <top style="thin">
        <color rgb="FF000000"/>
      </top>
      <bottom style="thin">
        <color rgb="FFFFFFFF"/>
      </bottom>
      <diagonal/>
    </border>
    <border>
      <left style="thin">
        <color rgb="FFFFFFFF"/>
      </left>
      <right style="thin">
        <color rgb="FF000000"/>
      </right>
      <top style="thin">
        <color rgb="FF000000"/>
      </top>
      <bottom style="thin">
        <color rgb="FFFFFFFF"/>
      </bottom>
      <diagonal/>
    </border>
    <border>
      <left style="thin">
        <color rgb="FF000000"/>
      </left>
      <right/>
      <top style="thin">
        <color rgb="FFFFFFFF"/>
      </top>
      <bottom style="thin">
        <color rgb="FFFFFFFF"/>
      </bottom>
      <diagonal/>
    </border>
    <border>
      <left style="thin">
        <color rgb="FFFFFFFF"/>
      </left>
      <right style="thin">
        <color rgb="FF000000"/>
      </right>
      <top style="thin">
        <color rgb="FFFFFFFF"/>
      </top>
      <bottom style="thin">
        <color rgb="FFFFFFFF"/>
      </bottom>
      <diagonal/>
    </border>
    <border>
      <left style="thin">
        <color rgb="FFFFFFFF"/>
      </left>
      <right style="thin">
        <color rgb="FF000000"/>
      </right>
      <top style="thin">
        <color rgb="FFFFFFFF"/>
      </top>
      <bottom style="thin">
        <color rgb="FF000000"/>
      </bottom>
      <diagonal/>
    </border>
    <border>
      <left/>
      <right/>
      <top/>
      <bottom style="thin">
        <color rgb="FF666666"/>
      </bottom>
      <diagonal/>
    </border>
    <border>
      <left/>
      <right/>
      <top/>
      <bottom style="thin">
        <color rgb="FF000000"/>
      </bottom>
      <diagonal/>
    </border>
    <border>
      <left/>
      <right/>
      <top style="thin">
        <color rgb="FF000000"/>
      </top>
      <bottom style="thin">
        <color rgb="FF000000"/>
      </bottom>
      <diagonal/>
    </border>
    <border>
      <left style="medium">
        <color rgb="FF000000"/>
      </left>
      <right/>
      <top style="medium">
        <color rgb="FF000000"/>
      </top>
      <bottom/>
      <diagonal/>
    </border>
    <border>
      <left style="double">
        <color rgb="FF000000"/>
      </left>
      <right/>
      <top style="medium">
        <color rgb="FF000000"/>
      </top>
      <bottom/>
      <diagonal/>
    </border>
    <border>
      <left style="double">
        <color rgb="FF000000"/>
      </left>
      <right style="double">
        <color rgb="FF000000"/>
      </right>
      <top style="medium">
        <color rgb="FF000000"/>
      </top>
      <bottom/>
      <diagonal/>
    </border>
    <border>
      <left/>
      <right style="double">
        <color rgb="FF000000"/>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double">
        <color rgb="FF000000"/>
      </left>
      <right/>
      <top/>
      <bottom/>
      <diagonal/>
    </border>
    <border>
      <left style="double">
        <color rgb="FF000000"/>
      </left>
      <right style="medium">
        <color rgb="FF000000"/>
      </right>
      <top/>
      <bottom/>
      <diagonal/>
    </border>
    <border>
      <left style="medium">
        <color rgb="FF000000"/>
      </left>
      <right/>
      <top/>
      <bottom style="medium">
        <color rgb="FF000000"/>
      </bottom>
      <diagonal/>
    </border>
    <border>
      <left style="double">
        <color rgb="FF000000"/>
      </left>
      <right/>
      <top/>
      <bottom style="medium">
        <color rgb="FF000000"/>
      </bottom>
      <diagonal/>
    </border>
    <border>
      <left style="double">
        <color rgb="FF000000"/>
      </left>
      <right style="double">
        <color rgb="FF000000"/>
      </right>
      <top/>
      <bottom style="medium">
        <color rgb="FF000000"/>
      </bottom>
      <diagonal/>
    </border>
    <border>
      <left/>
      <right style="double">
        <color rgb="FF000000"/>
      </right>
      <top/>
      <bottom style="medium">
        <color rgb="FF000000"/>
      </bottom>
      <diagonal/>
    </border>
    <border>
      <left/>
      <right style="medium">
        <color rgb="FF000000"/>
      </right>
      <top/>
      <bottom style="medium">
        <color rgb="FF000000"/>
      </bottom>
      <diagonal/>
    </border>
    <border>
      <left style="thin">
        <color rgb="FF000000"/>
      </left>
      <right style="thin">
        <color rgb="FF000000"/>
      </right>
      <top style="thin">
        <color rgb="FF000000"/>
      </top>
      <bottom/>
      <diagonal/>
    </border>
    <border>
      <left/>
      <right/>
      <top/>
      <bottom/>
      <diagonal/>
    </border>
    <border>
      <left style="double">
        <color rgb="FF000000"/>
      </left>
      <right style="double">
        <color rgb="FF000000"/>
      </right>
      <top style="medium">
        <color rgb="FF000000"/>
      </top>
      <bottom/>
      <diagonal/>
    </border>
    <border>
      <left style="double">
        <color rgb="FF000000"/>
      </left>
      <right style="medium">
        <color rgb="FF000000"/>
      </right>
      <top style="medium">
        <color rgb="FF000000"/>
      </top>
      <bottom/>
      <diagonal/>
    </border>
    <border>
      <left style="thick">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medium">
        <color rgb="FF000000"/>
      </right>
      <top/>
      <bottom style="double">
        <color rgb="FF000000"/>
      </bottom>
      <diagonal/>
    </border>
    <border>
      <left style="double">
        <color rgb="FF000000"/>
      </left>
      <right style="double">
        <color rgb="FF000000"/>
      </right>
      <top/>
      <bottom style="medium">
        <color rgb="FF000000"/>
      </bottom>
      <diagonal/>
    </border>
    <border>
      <left style="double">
        <color rgb="FF000000"/>
      </left>
      <right style="medium">
        <color rgb="FF000000"/>
      </right>
      <top/>
      <bottom style="medium">
        <color rgb="FF000000"/>
      </bottom>
      <diagonal/>
    </border>
    <border>
      <left style="thick">
        <color rgb="FF000000"/>
      </left>
      <right style="medium">
        <color rgb="FF000000"/>
      </right>
      <top/>
      <bottom style="thin">
        <color rgb="FF000000"/>
      </bottom>
      <diagonal/>
    </border>
    <border>
      <left style="medium">
        <color rgb="FF000000"/>
      </left>
      <right style="medium">
        <color rgb="FF000000"/>
      </right>
      <top/>
      <bottom/>
      <diagonal/>
    </border>
    <border>
      <left style="double">
        <color rgb="FF000000"/>
      </left>
      <right style="double">
        <color rgb="FF000000"/>
      </right>
      <top/>
      <bottom/>
      <diagonal/>
    </border>
    <border>
      <left/>
      <right style="medium">
        <color rgb="FF000000"/>
      </right>
      <top/>
      <bottom/>
      <diagonal/>
    </border>
    <border>
      <left style="thick">
        <color rgb="FF000000"/>
      </left>
      <right/>
      <top style="thin">
        <color rgb="FF000000"/>
      </top>
      <bottom style="thin">
        <color rgb="FF000000"/>
      </bottom>
      <diagonal/>
    </border>
    <border>
      <left style="thick">
        <color rgb="FF000000"/>
      </left>
      <right/>
      <top style="thin">
        <color rgb="FF000000"/>
      </top>
      <bottom style="thin">
        <color rgb="FF000000"/>
      </bottom>
      <diagonal/>
    </border>
    <border>
      <left style="thin">
        <color rgb="FF000000"/>
      </left>
      <right style="thin">
        <color rgb="FF000000"/>
      </right>
      <top style="thin">
        <color rgb="FF000000"/>
      </top>
      <bottom style="double">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style="thin">
        <color rgb="FF000000"/>
      </top>
      <bottom/>
      <diagonal/>
    </border>
    <border>
      <left/>
      <right/>
      <top style="thin">
        <color rgb="FF808080"/>
      </top>
      <bottom/>
      <diagonal/>
    </border>
    <border>
      <left style="thin">
        <color rgb="FF000000"/>
      </left>
      <right style="thin">
        <color rgb="FF000000"/>
      </right>
      <top/>
      <bottom/>
      <diagonal/>
    </border>
    <border>
      <left/>
      <right/>
      <top/>
      <bottom/>
      <diagonal/>
    </border>
    <border>
      <left style="thin">
        <color rgb="FF000000"/>
      </left>
      <right/>
      <top style="thin">
        <color rgb="FF000000"/>
      </top>
      <bottom/>
      <diagonal/>
    </border>
    <border>
      <left style="thin">
        <color rgb="FF000000"/>
      </left>
      <right/>
      <top style="thin">
        <color rgb="FF000000"/>
      </top>
      <bottom/>
      <diagonal/>
    </border>
    <border>
      <left style="thin">
        <color rgb="FF000000"/>
      </left>
      <right/>
      <top/>
      <bottom style="thin">
        <color rgb="FF000000"/>
      </bottom>
      <diagonal/>
    </border>
  </borders>
  <cellStyleXfs count="1">
    <xf numFmtId="0" fontId="0" fillId="0" borderId="0"/>
  </cellStyleXfs>
  <cellXfs count="349">
    <xf numFmtId="0" fontId="0" fillId="0" borderId="0" xfId="0"/>
    <xf numFmtId="0" fontId="2" fillId="0" borderId="0" xfId="0" applyFont="1"/>
    <xf numFmtId="0" fontId="3" fillId="0" borderId="0" xfId="0" applyFont="1"/>
    <xf numFmtId="0" fontId="2" fillId="0" borderId="0" xfId="0" applyFont="1" applyAlignment="1">
      <alignment horizontal="right"/>
    </xf>
    <xf numFmtId="164" fontId="2" fillId="0" borderId="0" xfId="0" applyNumberFormat="1" applyFont="1"/>
    <xf numFmtId="2" fontId="2" fillId="0" borderId="0" xfId="0" applyNumberFormat="1" applyFont="1"/>
    <xf numFmtId="0" fontId="5" fillId="0" borderId="0" xfId="0" applyFont="1" applyAlignment="1">
      <alignment wrapText="1"/>
    </xf>
    <xf numFmtId="0" fontId="6" fillId="0" borderId="0" xfId="0" applyFont="1" applyAlignment="1">
      <alignment wrapText="1"/>
    </xf>
    <xf numFmtId="0" fontId="7" fillId="4" borderId="0" xfId="0" applyFont="1" applyFill="1" applyAlignment="1">
      <alignment horizontal="center" wrapText="1"/>
    </xf>
    <xf numFmtId="0" fontId="5" fillId="0" borderId="1" xfId="0" applyFont="1" applyBorder="1" applyAlignment="1">
      <alignment horizontal="center"/>
    </xf>
    <xf numFmtId="0" fontId="5" fillId="0" borderId="2" xfId="0" applyFont="1" applyBorder="1" applyAlignment="1">
      <alignment horizontal="center"/>
    </xf>
    <xf numFmtId="0" fontId="9" fillId="4" borderId="0" xfId="0" applyFont="1" applyFill="1"/>
    <xf numFmtId="0" fontId="5" fillId="2" borderId="3" xfId="0" applyFont="1" applyFill="1" applyBorder="1"/>
    <xf numFmtId="165" fontId="9" fillId="4" borderId="0" xfId="0" applyNumberFormat="1" applyFont="1" applyFill="1" applyAlignment="1">
      <alignment horizontal="center" wrapText="1"/>
    </xf>
    <xf numFmtId="165" fontId="10" fillId="5" borderId="1" xfId="0" applyNumberFormat="1" applyFont="1" applyFill="1" applyBorder="1" applyAlignment="1">
      <alignment horizontal="center" wrapText="1"/>
    </xf>
    <xf numFmtId="165" fontId="10" fillId="5" borderId="2" xfId="0" applyNumberFormat="1" applyFont="1" applyFill="1" applyBorder="1" applyAlignment="1">
      <alignment horizontal="center" wrapText="1"/>
    </xf>
    <xf numFmtId="165" fontId="10" fillId="5" borderId="4" xfId="0" applyNumberFormat="1" applyFont="1" applyFill="1" applyBorder="1" applyAlignment="1">
      <alignment horizontal="center" wrapText="1"/>
    </xf>
    <xf numFmtId="0" fontId="9" fillId="4" borderId="0" xfId="0" applyFont="1" applyFill="1" applyAlignment="1">
      <alignment horizontal="center" wrapText="1"/>
    </xf>
    <xf numFmtId="0" fontId="10" fillId="0" borderId="2" xfId="0" applyFont="1" applyBorder="1" applyAlignment="1">
      <alignment horizontal="center" wrapText="1"/>
    </xf>
    <xf numFmtId="0" fontId="10" fillId="0" borderId="4" xfId="0" applyFont="1" applyBorder="1" applyAlignment="1">
      <alignment horizontal="center" wrapText="1"/>
    </xf>
    <xf numFmtId="165" fontId="7" fillId="4" borderId="0" xfId="0" applyNumberFormat="1" applyFont="1" applyFill="1" applyAlignment="1">
      <alignment horizontal="center" wrapText="1"/>
    </xf>
    <xf numFmtId="165" fontId="11" fillId="0" borderId="1" xfId="0" applyNumberFormat="1" applyFont="1" applyBorder="1" applyAlignment="1">
      <alignment horizontal="center" wrapText="1"/>
    </xf>
    <xf numFmtId="165" fontId="11" fillId="0" borderId="2" xfId="0" applyNumberFormat="1" applyFont="1" applyBorder="1" applyAlignment="1">
      <alignment horizontal="center" wrapText="1"/>
    </xf>
    <xf numFmtId="165" fontId="11" fillId="0" borderId="4" xfId="0" applyNumberFormat="1" applyFont="1" applyBorder="1" applyAlignment="1">
      <alignment horizontal="center" wrapText="1"/>
    </xf>
    <xf numFmtId="0" fontId="8" fillId="5" borderId="5" xfId="0" applyFont="1" applyFill="1" applyBorder="1" applyAlignment="1">
      <alignment horizontal="left" wrapText="1"/>
    </xf>
    <xf numFmtId="0" fontId="8" fillId="5" borderId="6" xfId="0" applyFont="1" applyFill="1" applyBorder="1" applyAlignment="1">
      <alignment horizontal="left" wrapText="1"/>
    </xf>
    <xf numFmtId="0" fontId="9" fillId="4" borderId="0" xfId="0" applyFont="1" applyFill="1" applyAlignment="1">
      <alignment wrapText="1"/>
    </xf>
    <xf numFmtId="0" fontId="5" fillId="5" borderId="7" xfId="0" applyFont="1" applyFill="1" applyBorder="1"/>
    <xf numFmtId="0" fontId="5" fillId="5" borderId="8" xfId="0" applyFont="1" applyFill="1" applyBorder="1"/>
    <xf numFmtId="0" fontId="5" fillId="0" borderId="1" xfId="0" applyFont="1" applyBorder="1"/>
    <xf numFmtId="0" fontId="5" fillId="0" borderId="2" xfId="0" applyFont="1" applyBorder="1"/>
    <xf numFmtId="0" fontId="5" fillId="0" borderId="4" xfId="0" applyFont="1" applyBorder="1"/>
    <xf numFmtId="0" fontId="5" fillId="0" borderId="0" xfId="0" applyFont="1"/>
    <xf numFmtId="0" fontId="13" fillId="7" borderId="1" xfId="0" applyFont="1" applyFill="1" applyBorder="1" applyAlignment="1">
      <alignment horizontal="center" wrapText="1"/>
    </xf>
    <xf numFmtId="0" fontId="13" fillId="7" borderId="2" xfId="0" applyFont="1" applyFill="1" applyBorder="1" applyAlignment="1">
      <alignment horizontal="center" wrapText="1"/>
    </xf>
    <xf numFmtId="0" fontId="13" fillId="7" borderId="4" xfId="0" applyFont="1" applyFill="1" applyBorder="1" applyAlignment="1">
      <alignment horizontal="center" wrapText="1"/>
    </xf>
    <xf numFmtId="0" fontId="15" fillId="0" borderId="0" xfId="0" applyFont="1" applyAlignment="1">
      <alignment wrapText="1"/>
    </xf>
    <xf numFmtId="0" fontId="3" fillId="0" borderId="12" xfId="0" applyFont="1" applyBorder="1"/>
    <xf numFmtId="0" fontId="18" fillId="0" borderId="12" xfId="0" applyFont="1" applyBorder="1" applyAlignment="1">
      <alignment horizontal="left"/>
    </xf>
    <xf numFmtId="0" fontId="3" fillId="0" borderId="13" xfId="0" applyFont="1" applyBorder="1"/>
    <xf numFmtId="9" fontId="19" fillId="0" borderId="13" xfId="0" applyNumberFormat="1" applyFont="1" applyBorder="1" applyAlignment="1">
      <alignment horizontal="center"/>
    </xf>
    <xf numFmtId="49" fontId="20" fillId="0" borderId="13" xfId="0" applyNumberFormat="1" applyFont="1" applyBorder="1" applyAlignment="1">
      <alignment horizontal="center"/>
    </xf>
    <xf numFmtId="49" fontId="21" fillId="0" borderId="13" xfId="0" applyNumberFormat="1" applyFont="1" applyBorder="1" applyAlignment="1">
      <alignment horizontal="center"/>
    </xf>
    <xf numFmtId="0" fontId="0" fillId="0" borderId="12" xfId="0" applyBorder="1" applyAlignment="1">
      <alignment horizontal="center"/>
    </xf>
    <xf numFmtId="0" fontId="18" fillId="0" borderId="12" xfId="0" applyFont="1" applyBorder="1" applyAlignment="1">
      <alignment horizontal="left" vertical="center"/>
    </xf>
    <xf numFmtId="0" fontId="18" fillId="0" borderId="12" xfId="0" applyFont="1" applyBorder="1" applyAlignment="1">
      <alignment horizontal="right"/>
    </xf>
    <xf numFmtId="49" fontId="18" fillId="0" borderId="12" xfId="0" applyNumberFormat="1" applyFont="1" applyBorder="1" applyAlignment="1">
      <alignment horizontal="center"/>
    </xf>
    <xf numFmtId="0" fontId="18" fillId="0" borderId="12" xfId="0" applyFont="1" applyBorder="1" applyAlignment="1">
      <alignment horizontal="center"/>
    </xf>
    <xf numFmtId="49" fontId="23" fillId="0" borderId="12" xfId="0" applyNumberFormat="1" applyFont="1" applyBorder="1" applyAlignment="1">
      <alignment horizontal="center"/>
    </xf>
    <xf numFmtId="0" fontId="0" fillId="0" borderId="0" xfId="0" applyAlignment="1">
      <alignment wrapText="1"/>
    </xf>
    <xf numFmtId="166" fontId="0" fillId="0" borderId="12" xfId="0" applyNumberFormat="1" applyBorder="1" applyAlignment="1">
      <alignment wrapText="1"/>
    </xf>
    <xf numFmtId="42" fontId="0" fillId="0" borderId="12" xfId="0" applyNumberFormat="1" applyBorder="1" applyAlignment="1">
      <alignment wrapText="1"/>
    </xf>
    <xf numFmtId="166" fontId="25" fillId="4" borderId="13" xfId="0" applyNumberFormat="1" applyFont="1" applyFill="1" applyBorder="1" applyAlignment="1">
      <alignment horizontal="right" wrapText="1"/>
    </xf>
    <xf numFmtId="0" fontId="0" fillId="0" borderId="0" xfId="0" applyAlignment="1">
      <alignment horizontal="left"/>
    </xf>
    <xf numFmtId="41" fontId="0" fillId="0" borderId="12" xfId="0" applyNumberFormat="1" applyBorder="1" applyAlignment="1">
      <alignment wrapText="1"/>
    </xf>
    <xf numFmtId="166" fontId="26" fillId="4" borderId="12" xfId="0" applyNumberFormat="1" applyFont="1" applyFill="1" applyBorder="1" applyAlignment="1">
      <alignment wrapText="1"/>
    </xf>
    <xf numFmtId="0" fontId="27" fillId="0" borderId="0" xfId="0" applyFont="1" applyAlignment="1">
      <alignment wrapText="1"/>
    </xf>
    <xf numFmtId="165" fontId="0" fillId="0" borderId="12" xfId="0" applyNumberFormat="1" applyBorder="1" applyAlignment="1">
      <alignment wrapText="1"/>
    </xf>
    <xf numFmtId="0" fontId="0" fillId="0" borderId="14" xfId="0" applyBorder="1" applyAlignment="1">
      <alignment horizontal="center" vertical="center"/>
    </xf>
    <xf numFmtId="166" fontId="18" fillId="0" borderId="14" xfId="0" applyNumberFormat="1" applyFont="1" applyBorder="1" applyAlignment="1">
      <alignment horizontal="left" vertical="center"/>
    </xf>
    <xf numFmtId="166" fontId="18" fillId="0" borderId="14" xfId="0" applyNumberFormat="1" applyFont="1" applyBorder="1" applyAlignment="1">
      <alignment horizontal="center"/>
    </xf>
    <xf numFmtId="166" fontId="0" fillId="0" borderId="14" xfId="0" applyNumberFormat="1" applyBorder="1" applyAlignment="1">
      <alignment wrapText="1"/>
    </xf>
    <xf numFmtId="0" fontId="0" fillId="0" borderId="0" xfId="0" applyAlignment="1">
      <alignment horizontal="left" vertical="center"/>
    </xf>
    <xf numFmtId="0" fontId="28" fillId="0" borderId="0" xfId="0" applyFont="1" applyAlignment="1">
      <alignment wrapText="1"/>
    </xf>
    <xf numFmtId="0" fontId="0" fillId="0" borderId="15" xfId="0" applyBorder="1" applyAlignment="1">
      <alignment horizontal="center"/>
    </xf>
    <xf numFmtId="166" fontId="0" fillId="0" borderId="15" xfId="0" applyNumberFormat="1" applyBorder="1" applyAlignment="1">
      <alignment horizontal="left"/>
    </xf>
    <xf numFmtId="166" fontId="18" fillId="0" borderId="15" xfId="0" applyNumberFormat="1" applyFont="1" applyBorder="1" applyAlignment="1">
      <alignment horizontal="left"/>
    </xf>
    <xf numFmtId="166" fontId="0" fillId="0" borderId="15" xfId="0" applyNumberFormat="1" applyBorder="1" applyAlignment="1">
      <alignment wrapText="1"/>
    </xf>
    <xf numFmtId="0" fontId="0" fillId="0" borderId="12" xfId="0" applyBorder="1" applyAlignment="1">
      <alignment horizontal="left"/>
    </xf>
    <xf numFmtId="0" fontId="0" fillId="0" borderId="0" xfId="0" applyAlignment="1">
      <alignment horizontal="center" wrapText="1"/>
    </xf>
    <xf numFmtId="0" fontId="23" fillId="0" borderId="12" xfId="0" applyFont="1" applyBorder="1" applyAlignment="1">
      <alignment horizontal="left"/>
    </xf>
    <xf numFmtId="166" fontId="25" fillId="4" borderId="12" xfId="0" applyNumberFormat="1" applyFont="1" applyFill="1" applyBorder="1" applyAlignment="1">
      <alignment horizontal="right" wrapText="1"/>
    </xf>
    <xf numFmtId="0" fontId="29" fillId="0" borderId="5" xfId="0" applyFont="1" applyBorder="1"/>
    <xf numFmtId="0" fontId="30" fillId="0" borderId="5" xfId="0" applyFont="1" applyBorder="1"/>
    <xf numFmtId="0" fontId="32" fillId="8" borderId="5" xfId="0" applyFont="1" applyFill="1" applyBorder="1" applyAlignment="1">
      <alignment vertical="center"/>
    </xf>
    <xf numFmtId="0" fontId="5" fillId="0" borderId="19" xfId="0" applyFont="1" applyBorder="1" applyAlignment="1">
      <alignment wrapText="1"/>
    </xf>
    <xf numFmtId="0" fontId="5" fillId="0" borderId="20" xfId="0" applyFont="1" applyBorder="1" applyAlignment="1">
      <alignment wrapText="1"/>
    </xf>
    <xf numFmtId="0" fontId="5" fillId="0" borderId="21" xfId="0" applyFont="1" applyBorder="1" applyAlignment="1">
      <alignment wrapText="1"/>
    </xf>
    <xf numFmtId="0" fontId="5" fillId="0" borderId="22" xfId="0" applyFont="1" applyBorder="1" applyAlignment="1">
      <alignment wrapText="1"/>
    </xf>
    <xf numFmtId="0" fontId="34" fillId="0" borderId="5" xfId="0" applyFont="1" applyBorder="1"/>
    <xf numFmtId="165" fontId="35" fillId="8" borderId="5" xfId="0" applyNumberFormat="1" applyFont="1" applyFill="1" applyBorder="1"/>
    <xf numFmtId="0" fontId="32" fillId="6" borderId="24" xfId="0" applyFont="1" applyFill="1" applyBorder="1" applyAlignment="1">
      <alignment horizontal="center" vertical="center"/>
    </xf>
    <xf numFmtId="0" fontId="32" fillId="6" borderId="25" xfId="0" applyFont="1" applyFill="1" applyBorder="1" applyAlignment="1">
      <alignment horizontal="center" vertical="center"/>
    </xf>
    <xf numFmtId="0" fontId="5" fillId="0" borderId="26" xfId="0" applyFont="1" applyBorder="1" applyAlignment="1">
      <alignment wrapText="1"/>
    </xf>
    <xf numFmtId="0" fontId="5" fillId="0" borderId="27" xfId="0" applyFont="1" applyBorder="1" applyAlignment="1">
      <alignment wrapText="1"/>
    </xf>
    <xf numFmtId="0" fontId="30" fillId="0" borderId="5" xfId="0" applyFont="1" applyBorder="1" applyAlignment="1">
      <alignment wrapText="1"/>
    </xf>
    <xf numFmtId="10" fontId="35" fillId="8" borderId="5" xfId="0" applyNumberFormat="1" applyFont="1" applyFill="1" applyBorder="1"/>
    <xf numFmtId="0" fontId="34" fillId="0" borderId="8" xfId="0" applyFont="1" applyBorder="1"/>
    <xf numFmtId="3" fontId="35" fillId="8" borderId="5" xfId="0" applyNumberFormat="1" applyFont="1" applyFill="1" applyBorder="1"/>
    <xf numFmtId="165" fontId="34" fillId="9" borderId="5" xfId="0" applyNumberFormat="1" applyFont="1" applyFill="1" applyBorder="1"/>
    <xf numFmtId="0" fontId="30" fillId="0" borderId="6" xfId="0" applyFont="1" applyBorder="1"/>
    <xf numFmtId="0" fontId="35" fillId="8" borderId="8" xfId="0" applyFont="1" applyFill="1" applyBorder="1"/>
    <xf numFmtId="4" fontId="34" fillId="5" borderId="28" xfId="0" applyNumberFormat="1" applyFont="1" applyFill="1" applyBorder="1"/>
    <xf numFmtId="0" fontId="36" fillId="5" borderId="29" xfId="0" applyFont="1" applyFill="1" applyBorder="1"/>
    <xf numFmtId="165" fontId="36" fillId="5" borderId="29" xfId="0" applyNumberFormat="1" applyFont="1" applyFill="1" applyBorder="1"/>
    <xf numFmtId="0" fontId="37" fillId="0" borderId="5" xfId="0" applyFont="1" applyBorder="1"/>
    <xf numFmtId="165" fontId="33" fillId="4" borderId="5" xfId="0" applyNumberFormat="1" applyFont="1" applyFill="1" applyBorder="1"/>
    <xf numFmtId="165" fontId="38" fillId="8" borderId="5" xfId="0" applyNumberFormat="1" applyFont="1" applyFill="1" applyBorder="1"/>
    <xf numFmtId="0" fontId="30" fillId="0" borderId="32" xfId="0" applyFont="1" applyBorder="1"/>
    <xf numFmtId="0" fontId="30" fillId="0" borderId="32" xfId="0" applyFont="1" applyBorder="1" applyAlignment="1">
      <alignment wrapText="1"/>
    </xf>
    <xf numFmtId="165" fontId="37" fillId="5" borderId="5" xfId="0" applyNumberFormat="1" applyFont="1" applyFill="1" applyBorder="1"/>
    <xf numFmtId="0" fontId="30" fillId="9" borderId="5" xfId="0" applyFont="1" applyFill="1" applyBorder="1"/>
    <xf numFmtId="10" fontId="30" fillId="9" borderId="5" xfId="0" applyNumberFormat="1" applyFont="1" applyFill="1" applyBorder="1"/>
    <xf numFmtId="0" fontId="30" fillId="0" borderId="33" xfId="0" applyFont="1" applyBorder="1"/>
    <xf numFmtId="10" fontId="30" fillId="0" borderId="5" xfId="0" applyNumberFormat="1" applyFont="1" applyBorder="1"/>
    <xf numFmtId="0" fontId="37" fillId="0" borderId="0" xfId="0" applyFont="1"/>
    <xf numFmtId="0" fontId="37" fillId="5" borderId="32" xfId="0" applyFont="1" applyFill="1" applyBorder="1"/>
    <xf numFmtId="165" fontId="35" fillId="4" borderId="29" xfId="0" applyNumberFormat="1" applyFont="1" applyFill="1" applyBorder="1"/>
    <xf numFmtId="165" fontId="37" fillId="0" borderId="5" xfId="0" applyNumberFormat="1" applyFont="1" applyBorder="1"/>
    <xf numFmtId="0" fontId="39" fillId="0" borderId="5" xfId="0" applyFont="1" applyBorder="1"/>
    <xf numFmtId="165" fontId="38" fillId="4" borderId="5" xfId="0" applyNumberFormat="1" applyFont="1" applyFill="1" applyBorder="1" applyAlignment="1">
      <alignment horizontal="right"/>
    </xf>
    <xf numFmtId="0" fontId="30" fillId="0" borderId="8" xfId="0" applyFont="1" applyBorder="1"/>
    <xf numFmtId="165" fontId="30" fillId="0" borderId="8" xfId="0" applyNumberFormat="1" applyFont="1" applyBorder="1"/>
    <xf numFmtId="0" fontId="40" fillId="0" borderId="5" xfId="0" applyFont="1" applyBorder="1" applyAlignment="1">
      <alignment horizontal="center"/>
    </xf>
    <xf numFmtId="165" fontId="30" fillId="0" borderId="0" xfId="0" applyNumberFormat="1" applyFont="1"/>
    <xf numFmtId="167" fontId="37" fillId="0" borderId="5" xfId="0" applyNumberFormat="1" applyFont="1" applyBorder="1" applyAlignment="1">
      <alignment horizontal="center"/>
    </xf>
    <xf numFmtId="2" fontId="37" fillId="0" borderId="16" xfId="0" applyNumberFormat="1" applyFont="1" applyBorder="1" applyAlignment="1">
      <alignment horizontal="center"/>
    </xf>
    <xf numFmtId="165" fontId="37" fillId="0" borderId="32" xfId="0" applyNumberFormat="1" applyFont="1" applyBorder="1" applyAlignment="1">
      <alignment horizontal="center"/>
    </xf>
    <xf numFmtId="0" fontId="37" fillId="0" borderId="11" xfId="0" applyFont="1" applyBorder="1" applyAlignment="1">
      <alignment horizontal="center"/>
    </xf>
    <xf numFmtId="165" fontId="30" fillId="0" borderId="32" xfId="0" applyNumberFormat="1" applyFont="1" applyBorder="1"/>
    <xf numFmtId="0" fontId="30" fillId="0" borderId="16" xfId="0" applyFont="1" applyBorder="1"/>
    <xf numFmtId="0" fontId="41" fillId="4" borderId="11" xfId="0" applyFont="1" applyFill="1" applyBorder="1" applyAlignment="1">
      <alignment horizontal="center"/>
    </xf>
    <xf numFmtId="0" fontId="30" fillId="0" borderId="0" xfId="0" applyFont="1"/>
    <xf numFmtId="0" fontId="1" fillId="2" borderId="0" xfId="0" applyFont="1" applyFill="1" applyAlignment="1">
      <alignment horizontal="left" wrapText="1"/>
    </xf>
    <xf numFmtId="0" fontId="4" fillId="3" borderId="0" xfId="0" applyFont="1" applyFill="1" applyAlignment="1">
      <alignment horizontal="left" wrapText="1"/>
    </xf>
    <xf numFmtId="0" fontId="5" fillId="0" borderId="5" xfId="0" applyFont="1" applyBorder="1"/>
    <xf numFmtId="0" fontId="5" fillId="0" borderId="5" xfId="0" applyFont="1" applyBorder="1" applyAlignment="1">
      <alignment wrapText="1"/>
    </xf>
    <xf numFmtId="0" fontId="5" fillId="0" borderId="8" xfId="0" applyFont="1" applyBorder="1" applyAlignment="1">
      <alignment wrapText="1"/>
    </xf>
    <xf numFmtId="0" fontId="43" fillId="4" borderId="0" xfId="0" applyFont="1" applyFill="1" applyAlignment="1">
      <alignment horizontal="left" wrapText="1"/>
    </xf>
    <xf numFmtId="0" fontId="44" fillId="4" borderId="0" xfId="0" applyFont="1" applyFill="1" applyAlignment="1">
      <alignment wrapText="1"/>
    </xf>
    <xf numFmtId="0" fontId="44" fillId="4" borderId="0" xfId="0" applyFont="1" applyFill="1"/>
    <xf numFmtId="0" fontId="5" fillId="0" borderId="33" xfId="0" applyFont="1" applyBorder="1"/>
    <xf numFmtId="0" fontId="5" fillId="0" borderId="0" xfId="0" applyFont="1" applyAlignment="1">
      <alignment vertical="center"/>
    </xf>
    <xf numFmtId="0" fontId="5" fillId="0" borderId="20" xfId="0" applyFont="1" applyBorder="1" applyAlignment="1">
      <alignment vertical="center" wrapText="1"/>
    </xf>
    <xf numFmtId="0" fontId="5" fillId="0" borderId="22" xfId="0" applyFont="1" applyBorder="1" applyAlignment="1">
      <alignment vertical="center" wrapText="1"/>
    </xf>
    <xf numFmtId="0" fontId="5" fillId="0" borderId="30" xfId="0" applyFont="1" applyBorder="1" applyAlignment="1">
      <alignment wrapText="1"/>
    </xf>
    <xf numFmtId="0" fontId="5" fillId="0" borderId="31" xfId="0" applyFont="1" applyBorder="1" applyAlignment="1">
      <alignment vertical="center" wrapText="1"/>
    </xf>
    <xf numFmtId="0" fontId="5" fillId="0" borderId="8" xfId="0" applyFont="1" applyBorder="1"/>
    <xf numFmtId="0" fontId="5" fillId="0" borderId="23" xfId="0" applyFont="1" applyBorder="1"/>
    <xf numFmtId="0" fontId="5" fillId="0" borderId="32" xfId="0" applyFont="1" applyBorder="1"/>
    <xf numFmtId="0" fontId="5" fillId="0" borderId="10" xfId="0" applyFont="1" applyBorder="1"/>
    <xf numFmtId="0" fontId="46" fillId="5" borderId="0" xfId="0" applyFont="1" applyFill="1" applyAlignment="1">
      <alignment horizontal="left" wrapText="1"/>
    </xf>
    <xf numFmtId="0" fontId="5" fillId="0" borderId="33" xfId="0" applyFont="1" applyBorder="1" applyAlignment="1">
      <alignment wrapText="1"/>
    </xf>
    <xf numFmtId="0" fontId="26" fillId="4" borderId="0" xfId="0" applyFont="1" applyFill="1" applyAlignment="1">
      <alignment wrapText="1"/>
    </xf>
    <xf numFmtId="0" fontId="5" fillId="0" borderId="31" xfId="0" applyFont="1" applyBorder="1" applyAlignment="1">
      <alignment wrapText="1"/>
    </xf>
    <xf numFmtId="0" fontId="5" fillId="0" borderId="0" xfId="0" applyFont="1" applyAlignment="1">
      <alignment vertical="center" wrapText="1"/>
    </xf>
    <xf numFmtId="0" fontId="1" fillId="7" borderId="5" xfId="0" applyFont="1" applyFill="1" applyBorder="1" applyAlignment="1">
      <alignment horizontal="left" wrapText="1"/>
    </xf>
    <xf numFmtId="0" fontId="4" fillId="7" borderId="5" xfId="0" applyFont="1" applyFill="1" applyBorder="1" applyAlignment="1">
      <alignment horizontal="left" wrapText="1"/>
    </xf>
    <xf numFmtId="0" fontId="5" fillId="7" borderId="5" xfId="0" applyFont="1" applyFill="1" applyBorder="1"/>
    <xf numFmtId="0" fontId="44" fillId="7" borderId="5" xfId="0" applyFont="1" applyFill="1" applyBorder="1"/>
    <xf numFmtId="0" fontId="5" fillId="0" borderId="37" xfId="0" applyFont="1" applyBorder="1"/>
    <xf numFmtId="0" fontId="5" fillId="7" borderId="33" xfId="0" applyFont="1" applyFill="1" applyBorder="1"/>
    <xf numFmtId="0" fontId="5" fillId="0" borderId="38" xfId="0" applyFont="1" applyBorder="1" applyAlignment="1">
      <alignment horizontal="center" wrapText="1"/>
    </xf>
    <xf numFmtId="0" fontId="5" fillId="0" borderId="39" xfId="0" applyFont="1" applyBorder="1" applyAlignment="1">
      <alignment horizontal="center" wrapText="1"/>
    </xf>
    <xf numFmtId="0" fontId="5" fillId="0" borderId="40" xfId="0" applyFont="1" applyBorder="1" applyAlignment="1">
      <alignment horizontal="center" wrapText="1"/>
    </xf>
    <xf numFmtId="0" fontId="5" fillId="0" borderId="41" xfId="0" applyFont="1" applyBorder="1" applyAlignment="1">
      <alignment horizontal="center" wrapText="1"/>
    </xf>
    <xf numFmtId="0" fontId="5" fillId="0" borderId="40" xfId="0" applyFont="1" applyBorder="1" applyAlignment="1">
      <alignment horizontal="center"/>
    </xf>
    <xf numFmtId="0" fontId="5" fillId="7" borderId="16" xfId="0" applyFont="1" applyFill="1" applyBorder="1"/>
    <xf numFmtId="0" fontId="5" fillId="0" borderId="30" xfId="0" applyFont="1" applyBorder="1" applyAlignment="1">
      <alignment horizontal="center" wrapText="1"/>
    </xf>
    <xf numFmtId="0" fontId="5" fillId="0" borderId="42" xfId="0" applyFont="1" applyBorder="1" applyAlignment="1">
      <alignment horizontal="center" wrapText="1"/>
    </xf>
    <xf numFmtId="0" fontId="5" fillId="0" borderId="43" xfId="0" applyFont="1" applyBorder="1" applyAlignment="1">
      <alignment wrapText="1"/>
    </xf>
    <xf numFmtId="0" fontId="5" fillId="7" borderId="0" xfId="0" applyFont="1" applyFill="1"/>
    <xf numFmtId="0" fontId="44" fillId="4" borderId="19" xfId="0" applyFont="1" applyFill="1" applyBorder="1" applyAlignment="1">
      <alignment wrapText="1"/>
    </xf>
    <xf numFmtId="0" fontId="44" fillId="4" borderId="36" xfId="0" applyFont="1" applyFill="1" applyBorder="1" applyAlignment="1">
      <alignment wrapText="1"/>
    </xf>
    <xf numFmtId="0" fontId="44" fillId="4" borderId="20" xfId="0" applyFont="1" applyFill="1" applyBorder="1"/>
    <xf numFmtId="0" fontId="5" fillId="0" borderId="21" xfId="0" applyFont="1" applyBorder="1"/>
    <xf numFmtId="0" fontId="5" fillId="0" borderId="22" xfId="0" applyFont="1" applyBorder="1" applyAlignment="1">
      <alignment vertical="center"/>
    </xf>
    <xf numFmtId="0" fontId="5" fillId="0" borderId="30" xfId="0" applyFont="1" applyBorder="1"/>
    <xf numFmtId="0" fontId="5" fillId="0" borderId="44" xfId="0" applyFont="1" applyBorder="1"/>
    <xf numFmtId="0" fontId="5" fillId="0" borderId="31" xfId="0" applyFont="1" applyBorder="1" applyAlignment="1">
      <alignment vertical="center"/>
    </xf>
    <xf numFmtId="0" fontId="5" fillId="5" borderId="5" xfId="0" applyFont="1" applyFill="1" applyBorder="1" applyAlignment="1">
      <alignment wrapText="1"/>
    </xf>
    <xf numFmtId="0" fontId="48" fillId="4" borderId="0" xfId="0" applyFont="1" applyFill="1" applyAlignment="1">
      <alignment horizontal="left" wrapText="1"/>
    </xf>
    <xf numFmtId="0" fontId="26" fillId="4" borderId="36" xfId="0" applyFont="1" applyFill="1" applyBorder="1" applyAlignment="1">
      <alignment wrapText="1"/>
    </xf>
    <xf numFmtId="0" fontId="26" fillId="4" borderId="36" xfId="0" applyFont="1" applyFill="1" applyBorder="1"/>
    <xf numFmtId="0" fontId="5" fillId="5" borderId="5" xfId="0" applyFont="1" applyFill="1" applyBorder="1"/>
    <xf numFmtId="0" fontId="5" fillId="5" borderId="6" xfId="0" applyFont="1" applyFill="1" applyBorder="1"/>
    <xf numFmtId="0" fontId="49" fillId="0" borderId="0" xfId="0" applyFont="1"/>
    <xf numFmtId="0" fontId="50" fillId="0" borderId="0" xfId="0" applyFont="1"/>
    <xf numFmtId="0" fontId="49" fillId="0" borderId="46" xfId="0" applyFont="1" applyBorder="1"/>
    <xf numFmtId="0" fontId="51" fillId="0" borderId="46" xfId="0" applyFont="1" applyBorder="1" applyAlignment="1">
      <alignment horizontal="center"/>
    </xf>
    <xf numFmtId="0" fontId="51" fillId="0" borderId="47" xfId="0" applyFont="1" applyBorder="1" applyAlignment="1">
      <alignment horizontal="center"/>
    </xf>
    <xf numFmtId="0" fontId="51" fillId="0" borderId="48" xfId="0" applyFont="1" applyBorder="1" applyAlignment="1">
      <alignment horizontal="center"/>
    </xf>
    <xf numFmtId="0" fontId="51" fillId="0" borderId="49" xfId="0" applyFont="1" applyBorder="1" applyAlignment="1">
      <alignment horizontal="center"/>
    </xf>
    <xf numFmtId="0" fontId="51" fillId="0" borderId="50" xfId="0" applyFont="1" applyBorder="1" applyAlignment="1">
      <alignment horizontal="center"/>
    </xf>
    <xf numFmtId="0" fontId="49" fillId="0" borderId="51" xfId="0" applyFont="1" applyBorder="1"/>
    <xf numFmtId="14" fontId="51" fillId="0" borderId="51" xfId="0" applyNumberFormat="1" applyFont="1" applyBorder="1" applyAlignment="1">
      <alignment horizontal="center"/>
    </xf>
    <xf numFmtId="14" fontId="51" fillId="0" borderId="52" xfId="0" applyNumberFormat="1" applyFont="1" applyBorder="1" applyAlignment="1">
      <alignment horizontal="center"/>
    </xf>
    <xf numFmtId="14" fontId="51" fillId="0" borderId="53" xfId="0" applyNumberFormat="1" applyFont="1" applyBorder="1" applyAlignment="1">
      <alignment horizontal="center"/>
    </xf>
    <xf numFmtId="168" fontId="28" fillId="0" borderId="51" xfId="0" applyNumberFormat="1" applyFont="1" applyBorder="1"/>
    <xf numFmtId="0" fontId="52" fillId="0" borderId="54" xfId="0" applyFont="1" applyBorder="1" applyAlignment="1">
      <alignment horizontal="center"/>
    </xf>
    <xf numFmtId="0" fontId="52" fillId="0" borderId="55" xfId="0" applyFont="1" applyBorder="1" applyAlignment="1">
      <alignment horizontal="center"/>
    </xf>
    <xf numFmtId="0" fontId="52" fillId="0" borderId="56" xfId="0" applyFont="1" applyBorder="1" applyAlignment="1">
      <alignment horizontal="center"/>
    </xf>
    <xf numFmtId="0" fontId="52" fillId="0" borderId="57" xfId="0" applyFont="1" applyBorder="1" applyAlignment="1">
      <alignment horizontal="center"/>
    </xf>
    <xf numFmtId="0" fontId="52" fillId="0" borderId="58" xfId="0" applyFont="1" applyBorder="1" applyAlignment="1">
      <alignment horizontal="center"/>
    </xf>
    <xf numFmtId="0" fontId="51" fillId="0" borderId="59" xfId="0" applyFont="1" applyBorder="1" applyAlignment="1">
      <alignment wrapText="1"/>
    </xf>
    <xf numFmtId="168" fontId="53" fillId="10" borderId="60" xfId="0" applyNumberFormat="1" applyFont="1" applyFill="1" applyBorder="1"/>
    <xf numFmtId="168" fontId="53" fillId="10" borderId="61" xfId="0" applyNumberFormat="1" applyFont="1" applyFill="1" applyBorder="1"/>
    <xf numFmtId="168" fontId="53" fillId="10" borderId="62" xfId="0" applyNumberFormat="1" applyFont="1" applyFill="1" applyBorder="1"/>
    <xf numFmtId="0" fontId="54" fillId="11" borderId="63" xfId="0" applyFont="1" applyFill="1" applyBorder="1" applyAlignment="1">
      <alignment wrapText="1"/>
    </xf>
    <xf numFmtId="0" fontId="49" fillId="11" borderId="64" xfId="0" applyFont="1" applyFill="1" applyBorder="1"/>
    <xf numFmtId="0" fontId="49" fillId="11" borderId="65" xfId="0" applyFont="1" applyFill="1" applyBorder="1"/>
    <xf numFmtId="0" fontId="52" fillId="0" borderId="63" xfId="0" applyFont="1" applyBorder="1" applyAlignment="1">
      <alignment wrapText="1"/>
    </xf>
    <xf numFmtId="168" fontId="53" fillId="0" borderId="18" xfId="0" applyNumberFormat="1" applyFont="1" applyBorder="1"/>
    <xf numFmtId="168" fontId="53" fillId="0" borderId="65" xfId="0" applyNumberFormat="1" applyFont="1" applyBorder="1"/>
    <xf numFmtId="0" fontId="51" fillId="7" borderId="63" xfId="0" applyFont="1" applyFill="1" applyBorder="1" applyAlignment="1">
      <alignment wrapText="1"/>
    </xf>
    <xf numFmtId="168" fontId="53" fillId="10" borderId="66" xfId="0" applyNumberFormat="1" applyFont="1" applyFill="1" applyBorder="1"/>
    <xf numFmtId="0" fontId="55" fillId="8" borderId="63" xfId="0" applyFont="1" applyFill="1" applyBorder="1" applyAlignment="1">
      <alignment wrapText="1"/>
    </xf>
    <xf numFmtId="168" fontId="56" fillId="8" borderId="60" xfId="0" applyNumberFormat="1" applyFont="1" applyFill="1" applyBorder="1"/>
    <xf numFmtId="168" fontId="56" fillId="8" borderId="67" xfId="0" applyNumberFormat="1" applyFont="1" applyFill="1" applyBorder="1"/>
    <xf numFmtId="168" fontId="56" fillId="8" borderId="68" xfId="0" applyNumberFormat="1" applyFont="1" applyFill="1" applyBorder="1"/>
    <xf numFmtId="0" fontId="49" fillId="0" borderId="0" xfId="0" applyFont="1" applyAlignment="1">
      <alignment wrapText="1"/>
    </xf>
    <xf numFmtId="0" fontId="51" fillId="0" borderId="45" xfId="0" applyFont="1" applyBorder="1" applyAlignment="1">
      <alignment wrapText="1"/>
    </xf>
    <xf numFmtId="3" fontId="49" fillId="0" borderId="36" xfId="0" applyNumberFormat="1" applyFont="1" applyBorder="1" applyAlignment="1">
      <alignment wrapText="1"/>
    </xf>
    <xf numFmtId="0" fontId="54" fillId="11" borderId="69" xfId="0" applyFont="1" applyFill="1" applyBorder="1" applyAlignment="1">
      <alignment wrapText="1"/>
    </xf>
    <xf numFmtId="168" fontId="53" fillId="11" borderId="70" xfId="0" applyNumberFormat="1" applyFont="1" applyFill="1" applyBorder="1"/>
    <xf numFmtId="168" fontId="53" fillId="11" borderId="71" xfId="0" applyNumberFormat="1" applyFont="1" applyFill="1" applyBorder="1"/>
    <xf numFmtId="168" fontId="49" fillId="11" borderId="71" xfId="0" applyNumberFormat="1" applyFont="1" applyFill="1" applyBorder="1"/>
    <xf numFmtId="168" fontId="49" fillId="11" borderId="72" xfId="0" applyNumberFormat="1" applyFont="1" applyFill="1" applyBorder="1"/>
    <xf numFmtId="0" fontId="52" fillId="0" borderId="73" xfId="0" applyFont="1" applyBorder="1"/>
    <xf numFmtId="168" fontId="49" fillId="0" borderId="65" xfId="0" applyNumberFormat="1" applyFont="1" applyBorder="1"/>
    <xf numFmtId="0" fontId="52" fillId="0" borderId="73" xfId="0" applyFont="1" applyBorder="1" applyAlignment="1">
      <alignment wrapText="1"/>
    </xf>
    <xf numFmtId="0" fontId="51" fillId="7" borderId="74" xfId="0" applyFont="1" applyFill="1" applyBorder="1" applyAlignment="1">
      <alignment wrapText="1"/>
    </xf>
    <xf numFmtId="168" fontId="53" fillId="10" borderId="65" xfId="0" applyNumberFormat="1" applyFont="1" applyFill="1" applyBorder="1"/>
    <xf numFmtId="168" fontId="57" fillId="0" borderId="65" xfId="0" applyNumberFormat="1" applyFont="1" applyBorder="1"/>
    <xf numFmtId="168" fontId="58" fillId="0" borderId="65" xfId="0" applyNumberFormat="1" applyFont="1" applyBorder="1"/>
    <xf numFmtId="168" fontId="53" fillId="10" borderId="75" xfId="0" applyNumberFormat="1" applyFont="1" applyFill="1" applyBorder="1"/>
    <xf numFmtId="0" fontId="54" fillId="8" borderId="74" xfId="0" applyFont="1" applyFill="1" applyBorder="1" applyAlignment="1">
      <alignment wrapText="1"/>
    </xf>
    <xf numFmtId="168" fontId="53" fillId="8" borderId="76" xfId="0" applyNumberFormat="1" applyFont="1" applyFill="1" applyBorder="1"/>
    <xf numFmtId="0" fontId="52" fillId="0" borderId="0" xfId="0" applyFont="1" applyAlignment="1">
      <alignment wrapText="1"/>
    </xf>
    <xf numFmtId="14" fontId="49" fillId="0" borderId="65" xfId="0" applyNumberFormat="1" applyFont="1" applyBorder="1" applyAlignment="1">
      <alignment horizontal="right" wrapText="1"/>
    </xf>
    <xf numFmtId="3" fontId="49" fillId="0" borderId="77" xfId="0" applyNumberFormat="1" applyFont="1" applyBorder="1" applyAlignment="1">
      <alignment wrapText="1"/>
    </xf>
    <xf numFmtId="3" fontId="53" fillId="0" borderId="0" xfId="0" applyNumberFormat="1" applyFont="1"/>
    <xf numFmtId="3" fontId="60" fillId="0" borderId="0" xfId="0" applyNumberFormat="1" applyFont="1"/>
    <xf numFmtId="0" fontId="51" fillId="0" borderId="0" xfId="0" applyFont="1"/>
    <xf numFmtId="0" fontId="51" fillId="0" borderId="0" xfId="0" applyFont="1" applyAlignment="1">
      <alignment wrapText="1"/>
    </xf>
    <xf numFmtId="0" fontId="54" fillId="11" borderId="65" xfId="0" applyFont="1" applyFill="1" applyBorder="1" applyAlignment="1">
      <alignment horizontal="center" wrapText="1"/>
    </xf>
    <xf numFmtId="17" fontId="61" fillId="11" borderId="65" xfId="0" applyNumberFormat="1" applyFont="1" applyFill="1" applyBorder="1" applyAlignment="1">
      <alignment horizontal="center" wrapText="1"/>
    </xf>
    <xf numFmtId="169" fontId="54" fillId="11" borderId="65" xfId="0" applyNumberFormat="1" applyFont="1" applyFill="1" applyBorder="1" applyAlignment="1">
      <alignment horizontal="center" wrapText="1"/>
    </xf>
    <xf numFmtId="3" fontId="52" fillId="0" borderId="65" xfId="0" applyNumberFormat="1" applyFont="1" applyBorder="1" applyAlignment="1">
      <alignment wrapText="1"/>
    </xf>
    <xf numFmtId="3" fontId="52" fillId="10" borderId="65" xfId="0" applyNumberFormat="1" applyFont="1" applyFill="1" applyBorder="1" applyAlignment="1">
      <alignment wrapText="1"/>
    </xf>
    <xf numFmtId="3" fontId="52" fillId="12" borderId="65" xfId="0" applyNumberFormat="1" applyFont="1" applyFill="1" applyBorder="1" applyAlignment="1">
      <alignment wrapText="1"/>
    </xf>
    <xf numFmtId="0" fontId="51" fillId="0" borderId="36" xfId="0" applyFont="1" applyBorder="1" applyAlignment="1">
      <alignment wrapText="1"/>
    </xf>
    <xf numFmtId="3" fontId="52" fillId="0" borderId="0" xfId="0" applyNumberFormat="1" applyFont="1" applyAlignment="1">
      <alignment wrapText="1"/>
    </xf>
    <xf numFmtId="0" fontId="54" fillId="11" borderId="78" xfId="0" applyFont="1" applyFill="1" applyBorder="1" applyAlignment="1">
      <alignment wrapText="1"/>
    </xf>
    <xf numFmtId="0" fontId="62" fillId="11" borderId="79" xfId="0" applyFont="1" applyFill="1" applyBorder="1" applyAlignment="1">
      <alignment wrapText="1"/>
    </xf>
    <xf numFmtId="0" fontId="62" fillId="11" borderId="80" xfId="0" applyFont="1" applyFill="1" applyBorder="1" applyAlignment="1">
      <alignment horizontal="center" wrapText="1"/>
    </xf>
    <xf numFmtId="0" fontId="52" fillId="0" borderId="18" xfId="0" applyFont="1" applyBorder="1" applyAlignment="1">
      <alignment wrapText="1"/>
    </xf>
    <xf numFmtId="3" fontId="52" fillId="12" borderId="81" xfId="0" applyNumberFormat="1" applyFont="1" applyFill="1" applyBorder="1" applyAlignment="1">
      <alignment wrapText="1"/>
    </xf>
    <xf numFmtId="167" fontId="52" fillId="0" borderId="77" xfId="0" applyNumberFormat="1" applyFont="1" applyBorder="1" applyAlignment="1">
      <alignment wrapText="1"/>
    </xf>
    <xf numFmtId="167" fontId="52" fillId="10" borderId="82" xfId="0" applyNumberFormat="1" applyFont="1" applyFill="1" applyBorder="1" applyAlignment="1">
      <alignment wrapText="1"/>
    </xf>
    <xf numFmtId="167" fontId="52" fillId="0" borderId="65" xfId="0" applyNumberFormat="1" applyFont="1" applyBorder="1" applyAlignment="1">
      <alignment wrapText="1"/>
    </xf>
    <xf numFmtId="0" fontId="51" fillId="7" borderId="83" xfId="0" applyFont="1" applyFill="1" applyBorder="1" applyAlignment="1">
      <alignment wrapText="1"/>
    </xf>
    <xf numFmtId="3" fontId="63" fillId="12" borderId="81" xfId="0" applyNumberFormat="1" applyFont="1" applyFill="1" applyBorder="1" applyAlignment="1">
      <alignment wrapText="1"/>
    </xf>
    <xf numFmtId="167" fontId="52" fillId="0" borderId="84" xfId="0" applyNumberFormat="1" applyFont="1" applyBorder="1" applyAlignment="1">
      <alignment wrapText="1"/>
    </xf>
    <xf numFmtId="167" fontId="52" fillId="10" borderId="85" xfId="0" applyNumberFormat="1" applyFont="1" applyFill="1" applyBorder="1" applyAlignment="1">
      <alignment wrapText="1"/>
    </xf>
    <xf numFmtId="0" fontId="54" fillId="8" borderId="59" xfId="0" applyFont="1" applyFill="1" applyBorder="1" applyAlignment="1">
      <alignment wrapText="1"/>
    </xf>
    <xf numFmtId="3" fontId="62" fillId="8" borderId="86" xfId="0" applyNumberFormat="1" applyFont="1" applyFill="1" applyBorder="1" applyAlignment="1">
      <alignment wrapText="1"/>
    </xf>
    <xf numFmtId="167" fontId="62" fillId="8" borderId="86" xfId="0" applyNumberFormat="1" applyFont="1" applyFill="1" applyBorder="1" applyAlignment="1">
      <alignment wrapText="1"/>
    </xf>
    <xf numFmtId="167" fontId="62" fillId="8" borderId="81" xfId="0" applyNumberFormat="1" applyFont="1" applyFill="1" applyBorder="1" applyAlignment="1">
      <alignment wrapText="1"/>
    </xf>
    <xf numFmtId="3" fontId="52" fillId="0" borderId="36" xfId="0" applyNumberFormat="1" applyFont="1" applyBorder="1" applyAlignment="1">
      <alignment wrapText="1"/>
    </xf>
    <xf numFmtId="3" fontId="52" fillId="0" borderId="45" xfId="0" applyNumberFormat="1" applyFont="1" applyBorder="1" applyAlignment="1">
      <alignment wrapText="1"/>
    </xf>
    <xf numFmtId="0" fontId="52" fillId="0" borderId="87" xfId="0" applyFont="1" applyBorder="1"/>
    <xf numFmtId="0" fontId="52" fillId="0" borderId="87" xfId="0" applyFont="1" applyBorder="1" applyAlignment="1">
      <alignment wrapText="1"/>
    </xf>
    <xf numFmtId="0" fontId="52" fillId="0" borderId="18" xfId="0" applyFont="1" applyBorder="1"/>
    <xf numFmtId="0" fontId="52" fillId="12" borderId="88" xfId="0" applyFont="1" applyFill="1" applyBorder="1" applyAlignment="1">
      <alignment wrapText="1"/>
    </xf>
    <xf numFmtId="0" fontId="51" fillId="7" borderId="89" xfId="0" applyFont="1" applyFill="1" applyBorder="1" applyAlignment="1">
      <alignment wrapText="1"/>
    </xf>
    <xf numFmtId="0" fontId="64" fillId="12" borderId="84" xfId="0" applyFont="1" applyFill="1" applyBorder="1" applyAlignment="1">
      <alignment wrapText="1"/>
    </xf>
    <xf numFmtId="167" fontId="52" fillId="0" borderId="36" xfId="0" applyNumberFormat="1" applyFont="1" applyBorder="1" applyAlignment="1">
      <alignment wrapText="1"/>
    </xf>
    <xf numFmtId="167" fontId="52" fillId="0" borderId="19" xfId="0" applyNumberFormat="1" applyFont="1" applyBorder="1" applyAlignment="1">
      <alignment wrapText="1"/>
    </xf>
    <xf numFmtId="167" fontId="52" fillId="10" borderId="90" xfId="0" applyNumberFormat="1" applyFont="1" applyFill="1" applyBorder="1" applyAlignment="1">
      <alignment wrapText="1"/>
    </xf>
    <xf numFmtId="0" fontId="52" fillId="0" borderId="36" xfId="0" applyFont="1" applyBorder="1" applyAlignment="1">
      <alignment wrapText="1"/>
    </xf>
    <xf numFmtId="3" fontId="52" fillId="12" borderId="84" xfId="0" applyNumberFormat="1" applyFont="1" applyFill="1" applyBorder="1" applyAlignment="1">
      <alignment wrapText="1"/>
    </xf>
    <xf numFmtId="167" fontId="52" fillId="10" borderId="91" xfId="0" applyNumberFormat="1" applyFont="1" applyFill="1" applyBorder="1" applyAlignment="1">
      <alignment wrapText="1"/>
    </xf>
    <xf numFmtId="0" fontId="51" fillId="7" borderId="17" xfId="0" applyFont="1" applyFill="1" applyBorder="1" applyAlignment="1">
      <alignment wrapText="1"/>
    </xf>
    <xf numFmtId="3" fontId="63" fillId="12" borderId="84" xfId="0" applyNumberFormat="1" applyFont="1" applyFill="1" applyBorder="1" applyAlignment="1">
      <alignment wrapText="1"/>
    </xf>
    <xf numFmtId="167" fontId="52" fillId="10" borderId="18" xfId="0" applyNumberFormat="1" applyFont="1" applyFill="1" applyBorder="1" applyAlignment="1">
      <alignment wrapText="1"/>
    </xf>
    <xf numFmtId="167" fontId="52" fillId="10" borderId="65" xfId="0" applyNumberFormat="1" applyFont="1" applyFill="1" applyBorder="1" applyAlignment="1">
      <alignment wrapText="1"/>
    </xf>
    <xf numFmtId="0" fontId="54" fillId="8" borderId="92" xfId="0" applyFont="1" applyFill="1" applyBorder="1" applyAlignment="1">
      <alignment wrapText="1"/>
    </xf>
    <xf numFmtId="3" fontId="62" fillId="8" borderId="92" xfId="0" applyNumberFormat="1" applyFont="1" applyFill="1" applyBorder="1" applyAlignment="1">
      <alignment wrapText="1"/>
    </xf>
    <xf numFmtId="167" fontId="62" fillId="8" borderId="92" xfId="0" applyNumberFormat="1" applyFont="1" applyFill="1" applyBorder="1" applyAlignment="1">
      <alignment wrapText="1"/>
    </xf>
    <xf numFmtId="167" fontId="62" fillId="8" borderId="65" xfId="0" applyNumberFormat="1" applyFont="1" applyFill="1" applyBorder="1" applyAlignment="1">
      <alignment wrapText="1"/>
    </xf>
    <xf numFmtId="0" fontId="54" fillId="11" borderId="78" xfId="0" applyFont="1" applyFill="1" applyBorder="1"/>
    <xf numFmtId="0" fontId="62" fillId="11" borderId="65" xfId="0" applyFont="1" applyFill="1" applyBorder="1" applyAlignment="1">
      <alignment wrapText="1"/>
    </xf>
    <xf numFmtId="0" fontId="54" fillId="11" borderId="80" xfId="0" applyFont="1" applyFill="1" applyBorder="1" applyAlignment="1">
      <alignment horizontal="center" wrapText="1"/>
    </xf>
    <xf numFmtId="0" fontId="52" fillId="0" borderId="44" xfId="0" applyFont="1" applyBorder="1" applyAlignment="1">
      <alignment wrapText="1"/>
    </xf>
    <xf numFmtId="0" fontId="52" fillId="13" borderId="84" xfId="0" applyFont="1" applyFill="1" applyBorder="1" applyAlignment="1">
      <alignment wrapText="1"/>
    </xf>
    <xf numFmtId="167" fontId="52" fillId="0" borderId="31" xfId="0" applyNumberFormat="1" applyFont="1" applyBorder="1" applyAlignment="1">
      <alignment wrapText="1"/>
    </xf>
    <xf numFmtId="167" fontId="52" fillId="13" borderId="82" xfId="0" applyNumberFormat="1" applyFont="1" applyFill="1" applyBorder="1" applyAlignment="1">
      <alignment wrapText="1"/>
    </xf>
    <xf numFmtId="0" fontId="52" fillId="0" borderId="45" xfId="0" applyFont="1" applyBorder="1" applyAlignment="1">
      <alignment wrapText="1"/>
    </xf>
    <xf numFmtId="3" fontId="52" fillId="13" borderId="84" xfId="0" applyNumberFormat="1" applyFont="1" applyFill="1" applyBorder="1" applyAlignment="1">
      <alignment wrapText="1"/>
    </xf>
    <xf numFmtId="167" fontId="52" fillId="0" borderId="18" xfId="0" applyNumberFormat="1" applyFont="1" applyBorder="1" applyAlignment="1">
      <alignment wrapText="1"/>
    </xf>
    <xf numFmtId="167" fontId="52" fillId="13" borderId="79" xfId="0" applyNumberFormat="1" applyFont="1" applyFill="1" applyBorder="1" applyAlignment="1">
      <alignment wrapText="1"/>
    </xf>
    <xf numFmtId="0" fontId="52" fillId="13" borderId="77" xfId="0" applyFont="1" applyFill="1" applyBorder="1" applyAlignment="1">
      <alignment wrapText="1"/>
    </xf>
    <xf numFmtId="170" fontId="35" fillId="8" borderId="5" xfId="0" applyNumberFormat="1" applyFont="1" applyFill="1" applyBorder="1"/>
    <xf numFmtId="171" fontId="5" fillId="0" borderId="0" xfId="0" applyNumberFormat="1" applyFont="1"/>
    <xf numFmtId="165" fontId="5" fillId="0" borderId="0" xfId="0" applyNumberFormat="1" applyFont="1"/>
    <xf numFmtId="0" fontId="1" fillId="2" borderId="0" xfId="0" applyFont="1" applyFill="1" applyAlignment="1">
      <alignment horizontal="center"/>
    </xf>
    <xf numFmtId="0" fontId="0" fillId="0" borderId="0" xfId="0"/>
    <xf numFmtId="0" fontId="2" fillId="0" borderId="0" xfId="0" applyFont="1"/>
    <xf numFmtId="0" fontId="8" fillId="6" borderId="0" xfId="0" applyFont="1" applyFill="1" applyAlignment="1">
      <alignment horizontal="left" wrapText="1"/>
    </xf>
    <xf numFmtId="0" fontId="12" fillId="0" borderId="1" xfId="0" applyFont="1" applyBorder="1"/>
    <xf numFmtId="0" fontId="1" fillId="2" borderId="0" xfId="0" applyFont="1" applyFill="1" applyAlignment="1">
      <alignment horizontal="center" wrapText="1"/>
    </xf>
    <xf numFmtId="0" fontId="4" fillId="3" borderId="0" xfId="0" applyFont="1" applyFill="1" applyAlignment="1">
      <alignment horizontal="center" wrapText="1"/>
    </xf>
    <xf numFmtId="0" fontId="8" fillId="2" borderId="0" xfId="0" applyFont="1" applyFill="1" applyAlignment="1">
      <alignment horizontal="left" wrapText="1"/>
    </xf>
    <xf numFmtId="0" fontId="14" fillId="6" borderId="9" xfId="0" applyFont="1" applyFill="1" applyBorder="1" applyAlignment="1">
      <alignment horizontal="left" vertical="center"/>
    </xf>
    <xf numFmtId="0" fontId="12" fillId="0" borderId="10" xfId="0" applyFont="1" applyBorder="1"/>
    <xf numFmtId="0" fontId="12" fillId="0" borderId="11" xfId="0" applyFont="1" applyBorder="1"/>
    <xf numFmtId="0" fontId="16" fillId="0" borderId="0" xfId="0" applyFont="1" applyAlignment="1">
      <alignment wrapText="1"/>
    </xf>
    <xf numFmtId="0" fontId="4" fillId="3" borderId="10" xfId="0" applyFont="1" applyFill="1" applyBorder="1" applyAlignment="1">
      <alignment horizontal="left" wrapText="1"/>
    </xf>
    <xf numFmtId="0" fontId="17" fillId="0" borderId="0" xfId="0" applyFont="1" applyAlignment="1">
      <alignment horizontal="center" vertical="top"/>
    </xf>
    <xf numFmtId="0" fontId="22" fillId="2" borderId="0" xfId="0" applyFont="1" applyFill="1" applyAlignment="1">
      <alignment wrapText="1"/>
    </xf>
    <xf numFmtId="0" fontId="24" fillId="2" borderId="0" xfId="0" applyFont="1" applyFill="1" applyAlignment="1">
      <alignment wrapText="1"/>
    </xf>
    <xf numFmtId="166" fontId="18" fillId="3" borderId="0" xfId="0" applyNumberFormat="1" applyFont="1" applyFill="1" applyAlignment="1">
      <alignment horizontal="center" vertical="center" wrapText="1"/>
    </xf>
    <xf numFmtId="0" fontId="33" fillId="6" borderId="6" xfId="0" applyFont="1" applyFill="1" applyBorder="1" applyAlignment="1">
      <alignment vertical="center"/>
    </xf>
    <xf numFmtId="0" fontId="12" fillId="0" borderId="16" xfId="0" applyFont="1" applyBorder="1"/>
    <xf numFmtId="0" fontId="33" fillId="6" borderId="6" xfId="0" applyFont="1" applyFill="1" applyBorder="1"/>
    <xf numFmtId="0" fontId="33" fillId="6" borderId="6" xfId="0" applyFont="1" applyFill="1" applyBorder="1" applyAlignment="1">
      <alignment horizontal="center" vertical="center"/>
    </xf>
    <xf numFmtId="0" fontId="42" fillId="0" borderId="6" xfId="0" applyFont="1" applyBorder="1" applyAlignment="1">
      <alignment horizontal="left" vertical="top" wrapText="1"/>
    </xf>
    <xf numFmtId="0" fontId="1" fillId="2" borderId="19" xfId="0" applyFont="1" applyFill="1" applyBorder="1" applyAlignment="1">
      <alignment horizontal="center" vertical="center" wrapText="1"/>
    </xf>
    <xf numFmtId="0" fontId="12" fillId="0" borderId="20" xfId="0" applyFont="1" applyBorder="1"/>
    <xf numFmtId="0" fontId="12" fillId="0" borderId="21" xfId="0" applyFont="1" applyBorder="1"/>
    <xf numFmtId="0" fontId="12" fillId="0" borderId="22" xfId="0" applyFont="1" applyBorder="1"/>
    <xf numFmtId="0" fontId="32" fillId="6" borderId="6" xfId="0" applyFont="1" applyFill="1" applyBorder="1" applyAlignment="1">
      <alignment vertical="center"/>
    </xf>
    <xf numFmtId="0" fontId="3" fillId="0" borderId="19" xfId="0" applyFont="1" applyBorder="1" applyAlignment="1">
      <alignment wrapText="1"/>
    </xf>
    <xf numFmtId="0" fontId="12" fillId="0" borderId="34" xfId="0" applyFont="1" applyBorder="1"/>
    <xf numFmtId="0" fontId="12" fillId="0" borderId="25" xfId="0" applyFont="1" applyBorder="1"/>
    <xf numFmtId="0" fontId="12" fillId="0" borderId="35" xfId="0" applyFont="1" applyBorder="1"/>
    <xf numFmtId="0" fontId="14" fillId="6" borderId="9" xfId="0" applyFont="1" applyFill="1" applyBorder="1" applyAlignment="1">
      <alignment horizontal="center" vertical="center"/>
    </xf>
    <xf numFmtId="0" fontId="31" fillId="0" borderId="6" xfId="0" applyFont="1" applyBorder="1" applyAlignment="1">
      <alignment vertical="center" wrapText="1"/>
    </xf>
    <xf numFmtId="0" fontId="1" fillId="2" borderId="17" xfId="0" applyFont="1" applyFill="1" applyBorder="1" applyAlignment="1">
      <alignment horizontal="center" wrapText="1"/>
    </xf>
    <xf numFmtId="0" fontId="12" fillId="0" borderId="18" xfId="0" applyFont="1" applyBorder="1"/>
    <xf numFmtId="0" fontId="32" fillId="6" borderId="23" xfId="0" applyFont="1" applyFill="1" applyBorder="1" applyAlignment="1">
      <alignment horizontal="center" vertical="center"/>
    </xf>
    <xf numFmtId="0" fontId="12" fillId="0" borderId="7" xfId="0" applyFont="1" applyBorder="1"/>
    <xf numFmtId="0" fontId="5" fillId="0" borderId="19" xfId="0" applyFont="1" applyBorder="1" applyAlignment="1">
      <alignment vertical="center" wrapText="1"/>
    </xf>
    <xf numFmtId="0" fontId="12" fillId="0" borderId="30" xfId="0" applyFont="1" applyBorder="1"/>
    <xf numFmtId="0" fontId="12" fillId="0" borderId="31" xfId="0" applyFont="1" applyBorder="1"/>
    <xf numFmtId="0" fontId="1" fillId="2" borderId="0" xfId="0" applyFont="1" applyFill="1" applyAlignment="1">
      <alignment horizontal="left" wrapText="1"/>
    </xf>
    <xf numFmtId="0" fontId="4" fillId="3" borderId="0" xfId="0" applyFont="1" applyFill="1" applyAlignment="1">
      <alignment horizontal="left" wrapText="1"/>
    </xf>
    <xf numFmtId="0" fontId="45" fillId="0" borderId="19" xfId="0" applyFont="1" applyBorder="1" applyAlignment="1">
      <alignment horizontal="center" vertical="center"/>
    </xf>
    <xf numFmtId="0" fontId="5" fillId="0" borderId="30" xfId="0" applyFont="1" applyBorder="1" applyAlignment="1">
      <alignment horizontal="center" vertical="center"/>
    </xf>
    <xf numFmtId="0" fontId="5" fillId="0" borderId="9" xfId="0" applyFont="1" applyBorder="1" applyAlignment="1">
      <alignment vertical="center"/>
    </xf>
    <xf numFmtId="0" fontId="1" fillId="2" borderId="36" xfId="0" applyFont="1" applyFill="1" applyBorder="1" applyAlignment="1">
      <alignment horizontal="center" wrapText="1"/>
    </xf>
    <xf numFmtId="0" fontId="47" fillId="0" borderId="36" xfId="0" applyFont="1" applyBorder="1" applyAlignment="1">
      <alignment horizontal="center" wrapText="1"/>
    </xf>
    <xf numFmtId="0" fontId="1" fillId="2" borderId="45" xfId="0" applyFont="1" applyFill="1" applyBorder="1" applyAlignment="1">
      <alignment horizontal="left" wrapText="1"/>
    </xf>
    <xf numFmtId="0" fontId="5" fillId="0" borderId="19" xfId="0" applyFont="1" applyBorder="1" applyAlignment="1">
      <alignment horizontal="left" vertical="center" wrapText="1"/>
    </xf>
    <xf numFmtId="0" fontId="59" fillId="0" borderId="0" xfId="0" applyFont="1" applyAlignment="1">
      <alignment horizontal="left" wrapText="1"/>
    </xf>
    <xf numFmtId="0" fontId="34" fillId="0" borderId="6" xfId="0" applyFont="1" applyBorder="1"/>
    <xf numFmtId="0" fontId="12" fillId="0" borderId="33" xfId="0" applyFont="1" applyBorder="1"/>
    <xf numFmtId="0" fontId="5" fillId="0" borderId="0" xfId="0" applyFont="1"/>
  </cellXfs>
  <cellStyles count="1">
    <cellStyle name="Normal" xfId="0" builtinId="0"/>
  </cellStyles>
  <dxfs count="4">
    <dxf>
      <font>
        <color rgb="FFC00000"/>
      </font>
      <fill>
        <patternFill patternType="none"/>
      </fill>
    </dxf>
    <dxf>
      <fill>
        <patternFill patternType="solid">
          <fgColor rgb="FFF4CCCC"/>
          <bgColor rgb="FFF4CCCC"/>
        </patternFill>
      </fill>
    </dxf>
    <dxf>
      <fill>
        <patternFill patternType="solid">
          <fgColor rgb="FFD9EAD3"/>
          <bgColor rgb="FFD9EAD3"/>
        </patternFill>
      </fill>
    </dxf>
    <dxf>
      <fill>
        <patternFill patternType="solid">
          <fgColor rgb="FFFFF2CC"/>
          <bgColor rgb="FFFFF2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doughnutChart>
        <c:varyColors val="1"/>
        <c:ser>
          <c:idx val="0"/>
          <c:order val="0"/>
          <c:dPt>
            <c:idx val="0"/>
            <c:bubble3D val="0"/>
            <c:spPr>
              <a:solidFill>
                <a:srgbClr val="93C47D"/>
              </a:solidFill>
            </c:spPr>
            <c:extLst>
              <c:ext xmlns:c16="http://schemas.microsoft.com/office/drawing/2014/chart" uri="{C3380CC4-5D6E-409C-BE32-E72D297353CC}">
                <c16:uniqueId val="{00000001-1589-4890-91CF-CB7F76733A6B}"/>
              </c:ext>
            </c:extLst>
          </c:dPt>
          <c:dPt>
            <c:idx val="1"/>
            <c:bubble3D val="0"/>
            <c:spPr>
              <a:solidFill>
                <a:srgbClr val="27BABC"/>
              </a:solidFill>
            </c:spPr>
            <c:extLst>
              <c:ext xmlns:c16="http://schemas.microsoft.com/office/drawing/2014/chart" uri="{C3380CC4-5D6E-409C-BE32-E72D297353CC}">
                <c16:uniqueId val="{00000003-1589-4890-91CF-CB7F76733A6B}"/>
              </c:ext>
            </c:extLst>
          </c:dPt>
          <c:dPt>
            <c:idx val="2"/>
            <c:bubble3D val="0"/>
            <c:spPr>
              <a:solidFill>
                <a:srgbClr val="CC0000"/>
              </a:solidFill>
            </c:spPr>
            <c:extLst>
              <c:ext xmlns:c16="http://schemas.microsoft.com/office/drawing/2014/chart" uri="{C3380CC4-5D6E-409C-BE32-E72D297353CC}">
                <c16:uniqueId val="{00000005-1589-4890-91CF-CB7F76733A6B}"/>
              </c:ext>
            </c:extLst>
          </c:dPt>
          <c:dPt>
            <c:idx val="3"/>
            <c:bubble3D val="0"/>
            <c:spPr>
              <a:solidFill>
                <a:srgbClr val="8E7CC3"/>
              </a:solidFill>
            </c:spPr>
            <c:extLst>
              <c:ext xmlns:c16="http://schemas.microsoft.com/office/drawing/2014/chart" uri="{C3380CC4-5D6E-409C-BE32-E72D297353CC}">
                <c16:uniqueId val="{00000007-1589-4890-91CF-CB7F76733A6B}"/>
              </c:ext>
            </c:extLst>
          </c:dPt>
          <c:dPt>
            <c:idx val="4"/>
            <c:bubble3D val="0"/>
            <c:spPr>
              <a:solidFill>
                <a:srgbClr val="FF6D01"/>
              </a:solidFill>
            </c:spPr>
            <c:extLst>
              <c:ext xmlns:c16="http://schemas.microsoft.com/office/drawing/2014/chart" uri="{C3380CC4-5D6E-409C-BE32-E72D297353CC}">
                <c16:uniqueId val="{00000009-1589-4890-91CF-CB7F76733A6B}"/>
              </c:ext>
            </c:extLst>
          </c:dPt>
          <c:dPt>
            <c:idx val="5"/>
            <c:bubble3D val="0"/>
            <c:spPr>
              <a:solidFill>
                <a:srgbClr val="46BDC6"/>
              </a:solidFill>
            </c:spPr>
            <c:extLst>
              <c:ext xmlns:c16="http://schemas.microsoft.com/office/drawing/2014/chart" uri="{C3380CC4-5D6E-409C-BE32-E72D297353CC}">
                <c16:uniqueId val="{0000000B-1589-4890-91CF-CB7F76733A6B}"/>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'Step 3 Deal Calculator'!$B$22:$B$27</c:f>
              <c:strCache>
                <c:ptCount val="6"/>
                <c:pt idx="0">
                  <c:v>EXPENSES (MONEY OUT - ANNUAL)</c:v>
                </c:pt>
                <c:pt idx="1">
                  <c:v>Operating Expenses</c:v>
                </c:pt>
                <c:pt idx="2">
                  <c:v>Cost of Goods Sold</c:v>
                </c:pt>
                <c:pt idx="3">
                  <c:v>Maintenance CapX</c:v>
                </c:pt>
                <c:pt idx="4">
                  <c:v>Annual Loan Payments</c:v>
                </c:pt>
                <c:pt idx="5">
                  <c:v>Operator Salary + Benefits (Annual - New Hire / Not Current Employee)</c:v>
                </c:pt>
              </c:strCache>
            </c:strRef>
          </c:cat>
          <c:val>
            <c:numRef>
              <c:f>'Step 3 Deal Calculator'!$C$22:$C$27</c:f>
              <c:numCache>
                <c:formatCode>"$"#,##0</c:formatCode>
                <c:ptCount val="6"/>
                <c:pt idx="1">
                  <c:v>1050000</c:v>
                </c:pt>
                <c:pt idx="2">
                  <c:v>200000</c:v>
                </c:pt>
                <c:pt idx="3">
                  <c:v>0</c:v>
                </c:pt>
                <c:pt idx="4">
                  <c:v>153950.45253853151</c:v>
                </c:pt>
                <c:pt idx="5">
                  <c:v>0</c:v>
                </c:pt>
              </c:numCache>
            </c:numRef>
          </c:val>
          <c:extLst>
            <c:ext xmlns:c16="http://schemas.microsoft.com/office/drawing/2014/chart" uri="{C3380CC4-5D6E-409C-BE32-E72D297353CC}">
              <c16:uniqueId val="{0000000C-1589-4890-91CF-CB7F76733A6B}"/>
            </c:ext>
          </c:extLst>
        </c:ser>
        <c:dLbls>
          <c:showLegendKey val="0"/>
          <c:showVal val="0"/>
          <c:showCatName val="0"/>
          <c:showSerName val="0"/>
          <c:showPercent val="0"/>
          <c:showBubbleSize val="0"/>
          <c:showLeaderLines val="1"/>
        </c:dLbls>
        <c:firstSliceAng val="0"/>
        <c:holeSize val="50"/>
      </c:doughnutChart>
    </c:plotArea>
    <c:legend>
      <c:legendPos val="r"/>
      <c:overlay val="0"/>
      <c:txPr>
        <a:bodyPr/>
        <a:lstStyle/>
        <a:p>
          <a:pPr lvl="0">
            <a:defRPr sz="1400" b="1" i="0">
              <a:solidFill>
                <a:srgbClr val="000000"/>
              </a:solidFill>
              <a:latin typeface="+mn-lt"/>
            </a:defRPr>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4</xdr:col>
      <xdr:colOff>57150</xdr:colOff>
      <xdr:row>5</xdr:row>
      <xdr:rowOff>9525</xdr:rowOff>
    </xdr:from>
    <xdr:ext cx="5600700" cy="3714750"/>
    <xdr:graphicFrame macro="">
      <xdr:nvGraphicFramePr>
        <xdr:cNvPr id="2" name="Chart 1" title="Chart">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12</xdr:col>
      <xdr:colOff>790575</xdr:colOff>
      <xdr:row>1</xdr:row>
      <xdr:rowOff>57150</xdr:rowOff>
    </xdr:from>
    <xdr:ext cx="1533525" cy="476250"/>
    <xdr:pic>
      <xdr:nvPicPr>
        <xdr:cNvPr id="2" name="image2.png" title="Image">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13</xdr:col>
      <xdr:colOff>638175</xdr:colOff>
      <xdr:row>1</xdr:row>
      <xdr:rowOff>47625</xdr:rowOff>
    </xdr:from>
    <xdr:ext cx="1533525" cy="476250"/>
    <xdr:pic>
      <xdr:nvPicPr>
        <xdr:cNvPr id="2" name="image1.png" title="Image">
          <a:extLst>
            <a:ext uri="{FF2B5EF4-FFF2-40B4-BE49-F238E27FC236}">
              <a16:creationId xmlns:a16="http://schemas.microsoft.com/office/drawing/2014/main" id="{00000000-0008-0000-0A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s://contrarianthinking.co/courses/main-street-accelerator/lessons/sde-calculation/"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contrarianthinking.co/courses/main-street-accelerator/lessons/deal-calculator-walk-through/"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contrarianthinking.notion.site/Gold-Standard-LOI-Template-a047dcd3b2a2487ea6592829ce7ec15d?pvs=4"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36"/>
  <sheetViews>
    <sheetView workbookViewId="0"/>
  </sheetViews>
  <sheetFormatPr defaultColWidth="12.6640625" defaultRowHeight="15.75" customHeight="1" x14ac:dyDescent="0.25"/>
  <cols>
    <col min="1" max="1" width="5.21875" customWidth="1"/>
    <col min="7" max="7" width="17.33203125" customWidth="1"/>
    <col min="9" max="9" width="20.77734375" customWidth="1"/>
  </cols>
  <sheetData>
    <row r="1" spans="1:9" ht="15.75" customHeight="1" x14ac:dyDescent="0.35">
      <c r="A1" s="296" t="s">
        <v>0</v>
      </c>
      <c r="B1" s="297"/>
      <c r="C1" s="297"/>
      <c r="D1" s="297"/>
      <c r="E1" s="297"/>
      <c r="F1" s="297"/>
      <c r="G1" s="297"/>
      <c r="H1" s="297"/>
      <c r="I1" s="297"/>
    </row>
    <row r="2" spans="1:9" ht="15.75" customHeight="1" x14ac:dyDescent="0.3">
      <c r="A2" s="1">
        <v>1</v>
      </c>
      <c r="B2" s="298" t="s">
        <v>1</v>
      </c>
      <c r="C2" s="297"/>
      <c r="D2" s="297"/>
      <c r="E2" s="297"/>
      <c r="F2" s="297"/>
      <c r="G2" s="297"/>
      <c r="H2" s="297"/>
      <c r="I2" s="297"/>
    </row>
    <row r="3" spans="1:9" ht="15.75" customHeight="1" x14ac:dyDescent="0.3">
      <c r="A3" s="1">
        <v>2</v>
      </c>
      <c r="B3" s="298" t="s">
        <v>2</v>
      </c>
      <c r="C3" s="297"/>
      <c r="D3" s="297"/>
      <c r="E3" s="297"/>
      <c r="F3" s="297"/>
      <c r="G3" s="297"/>
      <c r="H3" s="297"/>
      <c r="I3" s="297"/>
    </row>
    <row r="4" spans="1:9" ht="15.75" customHeight="1" x14ac:dyDescent="0.3">
      <c r="A4" s="1">
        <v>3</v>
      </c>
      <c r="B4" s="1" t="s">
        <v>3</v>
      </c>
      <c r="C4" s="1"/>
      <c r="D4" s="1"/>
      <c r="E4" s="1"/>
      <c r="F4" s="1"/>
      <c r="G4" s="1"/>
      <c r="H4" s="1"/>
      <c r="I4" s="1"/>
    </row>
    <row r="5" spans="1:9" ht="15.75" customHeight="1" x14ac:dyDescent="0.3">
      <c r="A5" s="1">
        <v>4</v>
      </c>
      <c r="B5" s="298" t="s">
        <v>4</v>
      </c>
      <c r="C5" s="297"/>
      <c r="D5" s="297"/>
      <c r="E5" s="297"/>
      <c r="F5" s="297"/>
      <c r="G5" s="297"/>
      <c r="H5" s="297"/>
      <c r="I5" s="297"/>
    </row>
    <row r="6" spans="1:9" ht="15.75" customHeight="1" x14ac:dyDescent="0.3">
      <c r="A6" s="1">
        <v>5</v>
      </c>
      <c r="B6" s="298" t="s">
        <v>5</v>
      </c>
      <c r="C6" s="297"/>
      <c r="D6" s="297"/>
      <c r="E6" s="297"/>
      <c r="F6" s="297"/>
      <c r="G6" s="297"/>
      <c r="H6" s="297"/>
      <c r="I6" s="297"/>
    </row>
    <row r="7" spans="1:9" ht="15.75" customHeight="1" x14ac:dyDescent="0.3">
      <c r="A7" s="1">
        <v>6</v>
      </c>
      <c r="B7" s="298" t="s">
        <v>6</v>
      </c>
      <c r="C7" s="297"/>
      <c r="D7" s="297"/>
      <c r="E7" s="297"/>
      <c r="F7" s="297"/>
      <c r="G7" s="297"/>
      <c r="H7" s="297"/>
      <c r="I7" s="297"/>
    </row>
    <row r="8" spans="1:9" ht="15.75" customHeight="1" x14ac:dyDescent="0.3">
      <c r="A8" s="1">
        <v>7</v>
      </c>
      <c r="B8" s="298" t="s">
        <v>7</v>
      </c>
      <c r="C8" s="297"/>
      <c r="D8" s="297"/>
      <c r="E8" s="297"/>
      <c r="F8" s="297"/>
      <c r="G8" s="297"/>
      <c r="H8" s="297"/>
      <c r="I8" s="297"/>
    </row>
    <row r="9" spans="1:9" ht="15.75" customHeight="1" x14ac:dyDescent="0.3">
      <c r="A9" s="1">
        <v>8</v>
      </c>
      <c r="B9" s="298" t="s">
        <v>8</v>
      </c>
      <c r="C9" s="297"/>
      <c r="D9" s="297"/>
      <c r="E9" s="297"/>
      <c r="F9" s="297"/>
      <c r="G9" s="297"/>
      <c r="H9" s="297"/>
      <c r="I9" s="297"/>
    </row>
    <row r="10" spans="1:9" ht="15.75" customHeight="1" x14ac:dyDescent="0.3">
      <c r="A10" s="1">
        <v>9</v>
      </c>
      <c r="B10" s="1" t="s">
        <v>9</v>
      </c>
      <c r="C10" s="1"/>
      <c r="D10" s="1"/>
      <c r="E10" s="1"/>
      <c r="F10" s="1"/>
      <c r="G10" s="1"/>
      <c r="H10" s="1"/>
      <c r="I10" s="1"/>
    </row>
    <row r="11" spans="1:9" ht="15.75" customHeight="1" x14ac:dyDescent="0.3">
      <c r="A11" s="1">
        <v>10</v>
      </c>
      <c r="B11" s="1" t="s">
        <v>10</v>
      </c>
      <c r="C11" s="1"/>
      <c r="D11" s="1"/>
      <c r="E11" s="1"/>
      <c r="F11" s="1"/>
      <c r="G11" s="1"/>
      <c r="H11" s="1"/>
      <c r="I11" s="1"/>
    </row>
    <row r="12" spans="1:9" ht="15.75" customHeight="1" x14ac:dyDescent="0.3">
      <c r="A12" s="1">
        <v>11</v>
      </c>
      <c r="B12" s="1" t="s">
        <v>11</v>
      </c>
      <c r="C12" s="1"/>
      <c r="D12" s="1"/>
      <c r="E12" s="1"/>
      <c r="F12" s="1"/>
      <c r="G12" s="1"/>
      <c r="H12" s="1"/>
      <c r="I12" s="1"/>
    </row>
    <row r="13" spans="1:9" ht="15.75" customHeight="1" x14ac:dyDescent="0.3">
      <c r="A13" s="1"/>
      <c r="B13" s="1"/>
      <c r="C13" s="1"/>
      <c r="D13" s="1"/>
      <c r="E13" s="1"/>
      <c r="F13" s="1"/>
      <c r="G13" s="1"/>
      <c r="H13" s="1"/>
      <c r="I13" s="1"/>
    </row>
    <row r="14" spans="1:9" ht="15.75" customHeight="1" x14ac:dyDescent="0.3">
      <c r="A14" s="1"/>
      <c r="B14" s="1"/>
      <c r="C14" s="1"/>
      <c r="D14" s="1"/>
      <c r="E14" s="1"/>
      <c r="F14" s="1"/>
      <c r="G14" s="1"/>
      <c r="H14" s="1"/>
      <c r="I14" s="1"/>
    </row>
    <row r="15" spans="1:9" ht="15.75" customHeight="1" x14ac:dyDescent="0.3">
      <c r="A15" s="1" t="s">
        <v>12</v>
      </c>
      <c r="B15" s="2"/>
      <c r="C15" s="2"/>
      <c r="D15" s="2"/>
      <c r="E15" s="2"/>
      <c r="F15" s="2"/>
      <c r="G15" s="2"/>
      <c r="H15" s="2"/>
      <c r="I15" s="2"/>
    </row>
    <row r="16" spans="1:9" ht="15.75" customHeight="1" x14ac:dyDescent="0.3">
      <c r="A16" s="3">
        <v>1</v>
      </c>
      <c r="B16" s="298" t="s">
        <v>13</v>
      </c>
      <c r="C16" s="297"/>
      <c r="D16" s="297"/>
      <c r="E16" s="297"/>
      <c r="F16" s="297"/>
      <c r="G16" s="297"/>
      <c r="H16" s="4">
        <v>45362</v>
      </c>
      <c r="I16" s="2"/>
    </row>
    <row r="17" spans="1:9" ht="15.75" customHeight="1" x14ac:dyDescent="0.3">
      <c r="A17" s="1">
        <v>1.1000000000000001</v>
      </c>
      <c r="B17" s="298" t="s">
        <v>14</v>
      </c>
      <c r="C17" s="297"/>
      <c r="D17" s="297"/>
      <c r="E17" s="297"/>
      <c r="F17" s="297"/>
      <c r="G17" s="297"/>
      <c r="H17" s="4">
        <v>45363</v>
      </c>
      <c r="I17" s="1"/>
    </row>
    <row r="18" spans="1:9" ht="15.75" customHeight="1" x14ac:dyDescent="0.3">
      <c r="A18" s="1">
        <v>1.2</v>
      </c>
      <c r="B18" s="298" t="s">
        <v>15</v>
      </c>
      <c r="C18" s="297"/>
      <c r="D18" s="297"/>
      <c r="E18" s="297"/>
      <c r="F18" s="297"/>
      <c r="G18" s="297"/>
      <c r="H18" s="4">
        <v>45395</v>
      </c>
      <c r="I18" s="1"/>
    </row>
    <row r="19" spans="1:9" ht="15.75" customHeight="1" x14ac:dyDescent="0.3">
      <c r="A19" s="1">
        <v>1.3</v>
      </c>
      <c r="B19" s="298" t="s">
        <v>16</v>
      </c>
      <c r="C19" s="297"/>
      <c r="D19" s="297"/>
      <c r="E19" s="297"/>
      <c r="F19" s="297"/>
      <c r="G19" s="297"/>
      <c r="H19" s="4">
        <v>45395</v>
      </c>
      <c r="I19" s="1"/>
    </row>
    <row r="20" spans="1:9" ht="15.75" customHeight="1" x14ac:dyDescent="0.3">
      <c r="A20" s="1">
        <v>1.4</v>
      </c>
      <c r="B20" s="298" t="s">
        <v>17</v>
      </c>
      <c r="C20" s="297"/>
      <c r="D20" s="297"/>
      <c r="E20" s="297"/>
      <c r="F20" s="297"/>
      <c r="G20" s="297"/>
      <c r="H20" s="4">
        <v>45396</v>
      </c>
      <c r="I20" s="1"/>
    </row>
    <row r="21" spans="1:9" ht="15.75" customHeight="1" x14ac:dyDescent="0.3">
      <c r="A21" s="1">
        <v>1.5</v>
      </c>
      <c r="B21" s="298" t="s">
        <v>18</v>
      </c>
      <c r="C21" s="297"/>
      <c r="D21" s="297"/>
      <c r="E21" s="297"/>
      <c r="F21" s="297"/>
      <c r="G21" s="297"/>
      <c r="H21" s="4">
        <v>45418</v>
      </c>
      <c r="I21" s="1"/>
    </row>
    <row r="22" spans="1:9" ht="15.75" customHeight="1" x14ac:dyDescent="0.3">
      <c r="A22" s="1">
        <v>1.6</v>
      </c>
      <c r="B22" s="298" t="s">
        <v>19</v>
      </c>
      <c r="C22" s="297"/>
      <c r="D22" s="297"/>
      <c r="E22" s="297"/>
      <c r="F22" s="297"/>
      <c r="G22" s="297"/>
      <c r="H22" s="4">
        <v>45442</v>
      </c>
      <c r="I22" s="1"/>
    </row>
    <row r="23" spans="1:9" ht="15.75" customHeight="1" x14ac:dyDescent="0.3">
      <c r="A23" s="1">
        <v>1.7</v>
      </c>
      <c r="B23" s="298" t="s">
        <v>20</v>
      </c>
      <c r="C23" s="297"/>
      <c r="D23" s="297"/>
      <c r="E23" s="297"/>
      <c r="F23" s="297"/>
      <c r="G23" s="297"/>
      <c r="H23" s="4">
        <v>45443</v>
      </c>
      <c r="I23" s="1"/>
    </row>
    <row r="24" spans="1:9" ht="15.75" customHeight="1" x14ac:dyDescent="0.3">
      <c r="A24" s="1">
        <v>1.8</v>
      </c>
      <c r="B24" s="1" t="s">
        <v>21</v>
      </c>
      <c r="C24" s="1"/>
      <c r="D24" s="1"/>
      <c r="E24" s="1"/>
      <c r="F24" s="1"/>
      <c r="G24" s="1"/>
      <c r="H24" s="4">
        <v>45460</v>
      </c>
      <c r="I24" s="1"/>
    </row>
    <row r="25" spans="1:9" ht="15.75" customHeight="1" x14ac:dyDescent="0.3">
      <c r="A25" s="1"/>
      <c r="B25" s="1" t="s">
        <v>22</v>
      </c>
      <c r="C25" s="1"/>
      <c r="D25" s="1"/>
      <c r="E25" s="1"/>
      <c r="F25" s="1"/>
      <c r="G25" s="1"/>
      <c r="H25" s="4"/>
      <c r="I25" s="1"/>
    </row>
    <row r="26" spans="1:9" ht="15.75" customHeight="1" x14ac:dyDescent="0.3">
      <c r="A26" s="1">
        <v>1.9</v>
      </c>
      <c r="B26" s="298" t="s">
        <v>23</v>
      </c>
      <c r="C26" s="297"/>
      <c r="D26" s="297"/>
      <c r="E26" s="297"/>
      <c r="F26" s="297"/>
      <c r="G26" s="297"/>
      <c r="H26" s="4">
        <v>45461</v>
      </c>
      <c r="I26" s="1"/>
    </row>
    <row r="27" spans="1:9" ht="15.75" customHeight="1" x14ac:dyDescent="0.3">
      <c r="A27" s="5">
        <v>1.1000000000000001</v>
      </c>
      <c r="B27" s="1" t="s">
        <v>24</v>
      </c>
      <c r="C27" s="1"/>
      <c r="D27" s="1"/>
      <c r="E27" s="1"/>
      <c r="F27" s="1"/>
      <c r="G27" s="1"/>
      <c r="H27" s="4">
        <v>45517</v>
      </c>
      <c r="I27" s="1"/>
    </row>
    <row r="28" spans="1:9" ht="15.75" customHeight="1" x14ac:dyDescent="0.3">
      <c r="A28" s="1">
        <v>1.1100000000000001</v>
      </c>
      <c r="B28" s="1" t="s">
        <v>25</v>
      </c>
      <c r="C28" s="1"/>
      <c r="D28" s="1"/>
      <c r="E28" s="1"/>
      <c r="F28" s="1"/>
      <c r="G28" s="1"/>
      <c r="H28" s="4">
        <v>45543</v>
      </c>
      <c r="I28" s="1"/>
    </row>
    <row r="29" spans="1:9" ht="15.75" customHeight="1" x14ac:dyDescent="0.3">
      <c r="A29" s="1"/>
      <c r="B29" s="1" t="s">
        <v>26</v>
      </c>
      <c r="C29" s="1"/>
      <c r="D29" s="1"/>
      <c r="E29" s="1"/>
      <c r="F29" s="1"/>
      <c r="G29" s="1"/>
      <c r="H29" s="4"/>
      <c r="I29" s="1"/>
    </row>
    <row r="30" spans="1:9" ht="15.75" customHeight="1" x14ac:dyDescent="0.3">
      <c r="A30" s="1">
        <v>1.1200000000000001</v>
      </c>
      <c r="B30" s="298" t="s">
        <v>27</v>
      </c>
      <c r="C30" s="297"/>
      <c r="D30" s="297"/>
      <c r="E30" s="297"/>
      <c r="F30" s="297"/>
      <c r="G30" s="297"/>
      <c r="H30" s="4">
        <v>45595</v>
      </c>
      <c r="I30" s="1"/>
    </row>
    <row r="31" spans="1:9" ht="15.75" customHeight="1" x14ac:dyDescent="0.3">
      <c r="A31" s="1">
        <v>1.1299999999999999</v>
      </c>
      <c r="B31" s="298" t="s">
        <v>28</v>
      </c>
      <c r="C31" s="297"/>
      <c r="D31" s="297"/>
      <c r="E31" s="297"/>
      <c r="F31" s="297"/>
      <c r="G31" s="297"/>
      <c r="H31" s="4">
        <v>45608</v>
      </c>
      <c r="I31" s="1"/>
    </row>
    <row r="32" spans="1:9" ht="15.75" customHeight="1" x14ac:dyDescent="0.3">
      <c r="A32" s="1">
        <v>1.1399999999999999</v>
      </c>
      <c r="B32" s="298" t="s">
        <v>29</v>
      </c>
      <c r="C32" s="297"/>
      <c r="D32" s="297"/>
      <c r="E32" s="297"/>
      <c r="F32" s="297"/>
      <c r="G32" s="297"/>
      <c r="H32" s="4">
        <v>45743</v>
      </c>
      <c r="I32" s="1"/>
    </row>
    <row r="33" spans="1:9" ht="15.75" customHeight="1" x14ac:dyDescent="0.3">
      <c r="A33" s="1"/>
      <c r="B33" s="1"/>
      <c r="C33" s="1"/>
      <c r="D33" s="1"/>
      <c r="E33" s="1"/>
      <c r="F33" s="1"/>
      <c r="G33" s="1"/>
      <c r="H33" s="4"/>
      <c r="I33" s="1"/>
    </row>
    <row r="34" spans="1:9" ht="15.75" customHeight="1" x14ac:dyDescent="0.3">
      <c r="A34" s="298" t="s">
        <v>30</v>
      </c>
      <c r="B34" s="297"/>
      <c r="C34" s="297"/>
      <c r="D34" s="297"/>
      <c r="E34" s="297"/>
      <c r="F34" s="1"/>
      <c r="G34" s="1"/>
      <c r="H34" s="1"/>
      <c r="I34" s="1"/>
    </row>
    <row r="35" spans="1:9" ht="15.6" x14ac:dyDescent="0.3">
      <c r="A35" s="1"/>
      <c r="B35" s="1"/>
      <c r="C35" s="1"/>
      <c r="D35" s="1"/>
      <c r="E35" s="1"/>
      <c r="F35" s="1"/>
      <c r="G35" s="1"/>
      <c r="H35" s="1"/>
      <c r="I35" s="1"/>
    </row>
    <row r="36" spans="1:9" ht="15.6" x14ac:dyDescent="0.3">
      <c r="A36" s="1"/>
      <c r="B36" s="1"/>
      <c r="C36" s="1"/>
      <c r="D36" s="1"/>
      <c r="E36" s="1"/>
      <c r="F36" s="1"/>
      <c r="G36" s="1"/>
      <c r="H36" s="1"/>
      <c r="I36" s="1"/>
    </row>
  </sheetData>
  <mergeCells count="21">
    <mergeCell ref="B30:G30"/>
    <mergeCell ref="B31:G31"/>
    <mergeCell ref="B32:G32"/>
    <mergeCell ref="A34:E34"/>
    <mergeCell ref="B9:I9"/>
    <mergeCell ref="B16:G16"/>
    <mergeCell ref="B17:G17"/>
    <mergeCell ref="B18:G18"/>
    <mergeCell ref="B19:G19"/>
    <mergeCell ref="B20:G20"/>
    <mergeCell ref="B21:G21"/>
    <mergeCell ref="B7:I7"/>
    <mergeCell ref="B8:I8"/>
    <mergeCell ref="B22:G22"/>
    <mergeCell ref="B23:G23"/>
    <mergeCell ref="B26:G26"/>
    <mergeCell ref="A1:I1"/>
    <mergeCell ref="B2:I2"/>
    <mergeCell ref="B3:I3"/>
    <mergeCell ref="B5:I5"/>
    <mergeCell ref="B6:I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J42"/>
  <sheetViews>
    <sheetView workbookViewId="0">
      <pane ySplit="3" topLeftCell="A4" activePane="bottomLeft" state="frozen"/>
      <selection pane="bottomLeft" activeCell="B5" sqref="B5"/>
    </sheetView>
  </sheetViews>
  <sheetFormatPr defaultColWidth="12.6640625" defaultRowHeight="15.75" customHeight="1" x14ac:dyDescent="0.25"/>
  <cols>
    <col min="1" max="1" width="24.6640625" customWidth="1"/>
    <col min="2" max="2" width="52.44140625" customWidth="1"/>
    <col min="3" max="3" width="32.6640625" customWidth="1"/>
  </cols>
  <sheetData>
    <row r="1" spans="1:10" ht="14.4" x14ac:dyDescent="0.35">
      <c r="A1" s="301" t="s">
        <v>31</v>
      </c>
      <c r="B1" s="297"/>
      <c r="C1" s="297"/>
      <c r="D1" s="297"/>
      <c r="E1" s="297"/>
      <c r="F1" s="297"/>
      <c r="G1" s="297"/>
      <c r="H1" s="297"/>
      <c r="I1" s="297"/>
      <c r="J1" s="297"/>
    </row>
    <row r="2" spans="1:10" ht="13.8" x14ac:dyDescent="0.3">
      <c r="A2" s="302" t="s">
        <v>32</v>
      </c>
      <c r="B2" s="297"/>
      <c r="C2" s="297"/>
      <c r="D2" s="297"/>
      <c r="E2" s="297"/>
      <c r="F2" s="297"/>
      <c r="G2" s="297"/>
      <c r="H2" s="297"/>
      <c r="I2" s="297"/>
      <c r="J2" s="297"/>
    </row>
    <row r="3" spans="1:10" ht="23.25" customHeight="1" x14ac:dyDescent="0.25">
      <c r="A3" s="6"/>
      <c r="B3" s="7"/>
      <c r="C3" s="8" t="s">
        <v>33</v>
      </c>
      <c r="D3" s="9" t="s">
        <v>34</v>
      </c>
      <c r="E3" s="10" t="s">
        <v>35</v>
      </c>
      <c r="F3" s="10" t="s">
        <v>36</v>
      </c>
      <c r="G3" s="10" t="s">
        <v>37</v>
      </c>
      <c r="H3" s="10" t="s">
        <v>38</v>
      </c>
      <c r="I3" s="10" t="s">
        <v>39</v>
      </c>
      <c r="J3" s="10" t="s">
        <v>40</v>
      </c>
    </row>
    <row r="4" spans="1:10" ht="21.75" customHeight="1" x14ac:dyDescent="0.3">
      <c r="A4" s="303" t="s">
        <v>41</v>
      </c>
      <c r="B4" s="297"/>
      <c r="C4" s="11"/>
      <c r="D4" s="12"/>
      <c r="E4" s="12"/>
      <c r="F4" s="12"/>
      <c r="G4" s="12"/>
      <c r="H4" s="12"/>
      <c r="I4" s="12"/>
      <c r="J4" s="12"/>
    </row>
    <row r="5" spans="1:10" ht="26.4" x14ac:dyDescent="0.25">
      <c r="A5" s="6" t="s">
        <v>42</v>
      </c>
      <c r="B5" s="6" t="s">
        <v>43</v>
      </c>
      <c r="C5" s="13">
        <v>100000</v>
      </c>
      <c r="D5" s="14">
        <v>0</v>
      </c>
      <c r="E5" s="15">
        <v>0</v>
      </c>
      <c r="F5" s="15">
        <v>0</v>
      </c>
      <c r="G5" s="15">
        <v>0</v>
      </c>
      <c r="H5" s="15">
        <v>0</v>
      </c>
      <c r="I5" s="15">
        <v>0</v>
      </c>
      <c r="J5" s="16">
        <v>0</v>
      </c>
    </row>
    <row r="6" spans="1:10" ht="66" x14ac:dyDescent="0.25">
      <c r="A6" s="6" t="s">
        <v>44</v>
      </c>
      <c r="B6" s="6" t="s">
        <v>45</v>
      </c>
      <c r="C6" s="13">
        <v>0</v>
      </c>
      <c r="D6" s="14">
        <v>0</v>
      </c>
      <c r="E6" s="15">
        <v>0</v>
      </c>
      <c r="F6" s="15">
        <v>0</v>
      </c>
      <c r="G6" s="15">
        <v>0</v>
      </c>
      <c r="H6" s="15">
        <v>0</v>
      </c>
      <c r="I6" s="15">
        <v>0</v>
      </c>
      <c r="J6" s="16">
        <v>0</v>
      </c>
    </row>
    <row r="7" spans="1:10" ht="13.8" x14ac:dyDescent="0.25">
      <c r="A7" s="6" t="s">
        <v>46</v>
      </c>
      <c r="B7" s="6" t="s">
        <v>47</v>
      </c>
      <c r="C7" s="17" t="b">
        <v>1</v>
      </c>
      <c r="D7" s="14" t="b">
        <v>0</v>
      </c>
      <c r="E7" s="18" t="b">
        <v>0</v>
      </c>
      <c r="F7" s="18" t="b">
        <v>0</v>
      </c>
      <c r="G7" s="18" t="b">
        <v>0</v>
      </c>
      <c r="H7" s="18" t="b">
        <v>0</v>
      </c>
      <c r="I7" s="18" t="b">
        <v>0</v>
      </c>
      <c r="J7" s="19" t="b">
        <v>0</v>
      </c>
    </row>
    <row r="8" spans="1:10" ht="39.6" x14ac:dyDescent="0.25">
      <c r="A8" s="6" t="s">
        <v>48</v>
      </c>
      <c r="B8" s="6" t="s">
        <v>49</v>
      </c>
      <c r="C8" s="13">
        <f t="shared" ref="C8:J8" si="0">IF(C7=TRUE,((C5+C6)*0.43),0)</f>
        <v>43000</v>
      </c>
      <c r="D8" s="15">
        <f t="shared" si="0"/>
        <v>0</v>
      </c>
      <c r="E8" s="15">
        <f t="shared" si="0"/>
        <v>0</v>
      </c>
      <c r="F8" s="15">
        <f t="shared" si="0"/>
        <v>0</v>
      </c>
      <c r="G8" s="15">
        <f t="shared" si="0"/>
        <v>0</v>
      </c>
      <c r="H8" s="15">
        <f t="shared" si="0"/>
        <v>0</v>
      </c>
      <c r="I8" s="15">
        <f t="shared" si="0"/>
        <v>0</v>
      </c>
      <c r="J8" s="15">
        <f t="shared" si="0"/>
        <v>0</v>
      </c>
    </row>
    <row r="9" spans="1:10" ht="39.6" x14ac:dyDescent="0.25">
      <c r="A9" s="6" t="s">
        <v>50</v>
      </c>
      <c r="B9" s="6" t="s">
        <v>51</v>
      </c>
      <c r="C9" s="20">
        <f t="shared" ref="C9:J9" si="1">C8+C6+C5</f>
        <v>143000</v>
      </c>
      <c r="D9" s="21">
        <f t="shared" si="1"/>
        <v>0</v>
      </c>
      <c r="E9" s="22">
        <f t="shared" si="1"/>
        <v>0</v>
      </c>
      <c r="F9" s="22">
        <f t="shared" si="1"/>
        <v>0</v>
      </c>
      <c r="G9" s="22">
        <f t="shared" si="1"/>
        <v>0</v>
      </c>
      <c r="H9" s="22">
        <f t="shared" si="1"/>
        <v>0</v>
      </c>
      <c r="I9" s="22">
        <f t="shared" si="1"/>
        <v>0</v>
      </c>
      <c r="J9" s="23">
        <f t="shared" si="1"/>
        <v>0</v>
      </c>
    </row>
    <row r="10" spans="1:10" ht="39.6" x14ac:dyDescent="0.25">
      <c r="A10" s="6" t="s">
        <v>52</v>
      </c>
      <c r="B10" s="6" t="s">
        <v>53</v>
      </c>
      <c r="C10" s="13">
        <f t="shared" ref="C10:J10" si="2">C9*2</f>
        <v>286000</v>
      </c>
      <c r="D10" s="14">
        <f t="shared" si="2"/>
        <v>0</v>
      </c>
      <c r="E10" s="15">
        <f t="shared" si="2"/>
        <v>0</v>
      </c>
      <c r="F10" s="15">
        <f t="shared" si="2"/>
        <v>0</v>
      </c>
      <c r="G10" s="15">
        <f t="shared" si="2"/>
        <v>0</v>
      </c>
      <c r="H10" s="15">
        <f t="shared" si="2"/>
        <v>0</v>
      </c>
      <c r="I10" s="15">
        <f t="shared" si="2"/>
        <v>0</v>
      </c>
      <c r="J10" s="16">
        <f t="shared" si="2"/>
        <v>0</v>
      </c>
    </row>
    <row r="11" spans="1:10" ht="39.6" x14ac:dyDescent="0.25">
      <c r="A11" s="6" t="s">
        <v>54</v>
      </c>
      <c r="B11" s="6" t="s">
        <v>55</v>
      </c>
      <c r="C11" s="13">
        <f t="shared" ref="C11:J11" si="3">C9*4</f>
        <v>572000</v>
      </c>
      <c r="D11" s="14">
        <f t="shared" si="3"/>
        <v>0</v>
      </c>
      <c r="E11" s="15">
        <f t="shared" si="3"/>
        <v>0</v>
      </c>
      <c r="F11" s="15">
        <f t="shared" si="3"/>
        <v>0</v>
      </c>
      <c r="G11" s="15">
        <f t="shared" si="3"/>
        <v>0</v>
      </c>
      <c r="H11" s="15">
        <f t="shared" si="3"/>
        <v>0</v>
      </c>
      <c r="I11" s="15">
        <f t="shared" si="3"/>
        <v>0</v>
      </c>
      <c r="J11" s="16">
        <f t="shared" si="3"/>
        <v>0</v>
      </c>
    </row>
    <row r="12" spans="1:10" ht="9" customHeight="1" x14ac:dyDescent="0.3">
      <c r="A12" s="24"/>
      <c r="B12" s="25"/>
      <c r="C12" s="26"/>
      <c r="D12" s="27"/>
      <c r="E12" s="28"/>
      <c r="F12" s="28"/>
      <c r="G12" s="28"/>
      <c r="H12" s="28"/>
      <c r="I12" s="28"/>
      <c r="J12" s="28"/>
    </row>
    <row r="13" spans="1:10" ht="14.4" x14ac:dyDescent="0.3">
      <c r="A13" s="303" t="s">
        <v>56</v>
      </c>
      <c r="B13" s="297"/>
      <c r="C13" s="26"/>
      <c r="D13" s="12"/>
      <c r="E13" s="12"/>
      <c r="F13" s="12"/>
      <c r="G13" s="12"/>
      <c r="H13" s="12"/>
      <c r="I13" s="12"/>
      <c r="J13" s="12"/>
    </row>
    <row r="14" spans="1:10" ht="26.4" x14ac:dyDescent="0.25">
      <c r="A14" s="6" t="s">
        <v>57</v>
      </c>
      <c r="B14" s="6" t="s">
        <v>58</v>
      </c>
      <c r="C14" s="17" t="s">
        <v>59</v>
      </c>
      <c r="D14" s="29"/>
      <c r="E14" s="30"/>
      <c r="F14" s="30"/>
      <c r="G14" s="30"/>
      <c r="H14" s="30"/>
      <c r="I14" s="30"/>
      <c r="J14" s="31"/>
    </row>
    <row r="15" spans="1:10" ht="52.8" x14ac:dyDescent="0.25">
      <c r="A15" s="6" t="s">
        <v>60</v>
      </c>
      <c r="B15" s="6" t="s">
        <v>61</v>
      </c>
      <c r="C15" s="17" t="s">
        <v>59</v>
      </c>
      <c r="D15" s="29"/>
      <c r="E15" s="30"/>
      <c r="F15" s="30"/>
      <c r="G15" s="30"/>
      <c r="H15" s="30"/>
      <c r="I15" s="30"/>
      <c r="J15" s="31"/>
    </row>
    <row r="16" spans="1:10" ht="26.4" x14ac:dyDescent="0.25">
      <c r="A16" s="6" t="s">
        <v>62</v>
      </c>
      <c r="B16" s="6" t="s">
        <v>63</v>
      </c>
      <c r="C16" s="17" t="s">
        <v>59</v>
      </c>
      <c r="D16" s="29"/>
      <c r="E16" s="30"/>
      <c r="F16" s="30"/>
      <c r="G16" s="30"/>
      <c r="H16" s="30"/>
      <c r="I16" s="30"/>
      <c r="J16" s="31"/>
    </row>
    <row r="17" spans="1:10" ht="26.4" x14ac:dyDescent="0.25">
      <c r="A17" s="32" t="s">
        <v>64</v>
      </c>
      <c r="B17" s="6" t="s">
        <v>65</v>
      </c>
      <c r="C17" s="17" t="s">
        <v>59</v>
      </c>
      <c r="D17" s="29"/>
      <c r="E17" s="30"/>
      <c r="F17" s="30"/>
      <c r="G17" s="30"/>
      <c r="H17" s="30"/>
      <c r="I17" s="30"/>
      <c r="J17" s="31"/>
    </row>
    <row r="18" spans="1:10" ht="26.4" x14ac:dyDescent="0.25">
      <c r="A18" s="6" t="s">
        <v>66</v>
      </c>
      <c r="B18" s="6" t="s">
        <v>67</v>
      </c>
      <c r="C18" s="17" t="s">
        <v>59</v>
      </c>
      <c r="D18" s="29"/>
      <c r="E18" s="30"/>
      <c r="F18" s="30"/>
      <c r="G18" s="30"/>
      <c r="H18" s="30"/>
      <c r="I18" s="30"/>
      <c r="J18" s="31"/>
    </row>
    <row r="19" spans="1:10" ht="26.4" x14ac:dyDescent="0.25">
      <c r="A19" s="6" t="s">
        <v>68</v>
      </c>
      <c r="B19" s="6" t="s">
        <v>69</v>
      </c>
      <c r="C19" s="17" t="s">
        <v>59</v>
      </c>
      <c r="D19" s="29"/>
      <c r="E19" s="30"/>
      <c r="F19" s="30"/>
      <c r="G19" s="30"/>
      <c r="H19" s="30"/>
      <c r="I19" s="30"/>
      <c r="J19" s="31"/>
    </row>
    <row r="20" spans="1:10" ht="39.6" x14ac:dyDescent="0.25">
      <c r="A20" s="6" t="s">
        <v>70</v>
      </c>
      <c r="B20" s="6" t="s">
        <v>71</v>
      </c>
      <c r="C20" s="17" t="s">
        <v>59</v>
      </c>
      <c r="D20" s="29"/>
      <c r="E20" s="30"/>
      <c r="F20" s="30"/>
      <c r="G20" s="30"/>
      <c r="H20" s="30"/>
      <c r="I20" s="30"/>
      <c r="J20" s="31"/>
    </row>
    <row r="21" spans="1:10" ht="26.4" x14ac:dyDescent="0.25">
      <c r="A21" s="6" t="s">
        <v>72</v>
      </c>
      <c r="B21" s="6" t="s">
        <v>73</v>
      </c>
      <c r="C21" s="17" t="s">
        <v>59</v>
      </c>
      <c r="D21" s="29"/>
      <c r="E21" s="30"/>
      <c r="F21" s="30"/>
      <c r="G21" s="30"/>
      <c r="H21" s="30"/>
      <c r="I21" s="30"/>
      <c r="J21" s="31"/>
    </row>
    <row r="22" spans="1:10" ht="14.4" x14ac:dyDescent="0.3">
      <c r="A22" s="299" t="s">
        <v>74</v>
      </c>
      <c r="B22" s="300"/>
      <c r="C22" s="17" t="s">
        <v>59</v>
      </c>
      <c r="D22" s="299" t="s">
        <v>75</v>
      </c>
      <c r="E22" s="297"/>
      <c r="F22" s="297"/>
      <c r="G22" s="297"/>
      <c r="H22" s="297"/>
      <c r="I22" s="297"/>
      <c r="J22" s="300"/>
    </row>
    <row r="23" spans="1:10" ht="13.8" x14ac:dyDescent="0.25">
      <c r="A23" s="6" t="s">
        <v>76</v>
      </c>
      <c r="B23" s="6" t="s">
        <v>77</v>
      </c>
      <c r="C23" s="17"/>
      <c r="D23" s="33" t="b">
        <v>0</v>
      </c>
      <c r="E23" s="34" t="b">
        <v>0</v>
      </c>
      <c r="F23" s="34" t="b">
        <v>0</v>
      </c>
      <c r="G23" s="34" t="b">
        <v>0</v>
      </c>
      <c r="H23" s="34" t="b">
        <v>0</v>
      </c>
      <c r="I23" s="34" t="b">
        <v>0</v>
      </c>
      <c r="J23" s="35" t="b">
        <v>0</v>
      </c>
    </row>
    <row r="24" spans="1:10" ht="13.8" x14ac:dyDescent="0.25">
      <c r="A24" s="6"/>
      <c r="B24" s="6" t="s">
        <v>78</v>
      </c>
      <c r="C24" s="17"/>
      <c r="D24" s="33" t="b">
        <v>0</v>
      </c>
      <c r="E24" s="34"/>
      <c r="F24" s="34"/>
      <c r="G24" s="34"/>
      <c r="H24" s="34"/>
      <c r="I24" s="34"/>
      <c r="J24" s="35"/>
    </row>
    <row r="25" spans="1:10" ht="13.8" x14ac:dyDescent="0.25">
      <c r="A25" s="6"/>
      <c r="B25" s="6" t="s">
        <v>79</v>
      </c>
      <c r="C25" s="17"/>
      <c r="D25" s="33" t="b">
        <v>0</v>
      </c>
      <c r="E25" s="34"/>
      <c r="F25" s="34"/>
      <c r="G25" s="34"/>
      <c r="H25" s="34"/>
      <c r="I25" s="34"/>
      <c r="J25" s="35"/>
    </row>
    <row r="26" spans="1:10" ht="13.8" x14ac:dyDescent="0.25">
      <c r="A26" s="6"/>
      <c r="B26" s="6" t="s">
        <v>80</v>
      </c>
      <c r="C26" s="17"/>
      <c r="D26" s="33"/>
      <c r="E26" s="34"/>
      <c r="F26" s="34"/>
      <c r="G26" s="34"/>
      <c r="H26" s="34"/>
      <c r="I26" s="34"/>
      <c r="J26" s="35"/>
    </row>
    <row r="27" spans="1:10" ht="14.4" x14ac:dyDescent="0.3">
      <c r="A27" s="299" t="s">
        <v>74</v>
      </c>
      <c r="B27" s="300"/>
      <c r="C27" s="17"/>
      <c r="D27" s="299" t="s">
        <v>81</v>
      </c>
      <c r="E27" s="297"/>
      <c r="F27" s="297"/>
      <c r="G27" s="297"/>
      <c r="H27" s="297"/>
      <c r="I27" s="297"/>
      <c r="J27" s="300"/>
    </row>
    <row r="28" spans="1:10" ht="13.8" x14ac:dyDescent="0.25">
      <c r="A28" s="6" t="s">
        <v>82</v>
      </c>
      <c r="B28" s="6" t="s">
        <v>83</v>
      </c>
      <c r="C28" s="17"/>
      <c r="D28" s="33" t="b">
        <v>0</v>
      </c>
      <c r="E28" s="33" t="b">
        <v>0</v>
      </c>
      <c r="F28" s="33" t="b">
        <v>0</v>
      </c>
      <c r="G28" s="33" t="b">
        <v>0</v>
      </c>
      <c r="H28" s="33" t="b">
        <v>0</v>
      </c>
      <c r="I28" s="33" t="b">
        <v>0</v>
      </c>
      <c r="J28" s="33" t="b">
        <v>0</v>
      </c>
    </row>
    <row r="29" spans="1:10" ht="13.8" x14ac:dyDescent="0.25">
      <c r="A29" s="6"/>
      <c r="B29" s="6" t="s">
        <v>84</v>
      </c>
      <c r="C29" s="17" t="b">
        <v>0</v>
      </c>
      <c r="D29" s="33"/>
      <c r="E29" s="33"/>
      <c r="F29" s="33"/>
      <c r="G29" s="33"/>
      <c r="H29" s="33"/>
      <c r="I29" s="33"/>
      <c r="J29" s="33"/>
    </row>
    <row r="30" spans="1:10" ht="13.8" x14ac:dyDescent="0.25">
      <c r="A30" s="6"/>
      <c r="B30" s="6" t="s">
        <v>85</v>
      </c>
      <c r="C30" s="17" t="b">
        <v>0</v>
      </c>
      <c r="D30" s="33"/>
      <c r="E30" s="33"/>
      <c r="F30" s="33"/>
      <c r="G30" s="33"/>
      <c r="H30" s="33"/>
      <c r="I30" s="33"/>
      <c r="J30" s="33"/>
    </row>
    <row r="31" spans="1:10" ht="13.8" x14ac:dyDescent="0.25">
      <c r="A31" s="6"/>
      <c r="B31" s="6" t="s">
        <v>86</v>
      </c>
      <c r="C31" s="17" t="b">
        <v>0</v>
      </c>
      <c r="D31" s="33"/>
      <c r="E31" s="33"/>
      <c r="F31" s="33"/>
      <c r="G31" s="33"/>
      <c r="H31" s="33"/>
      <c r="I31" s="33"/>
      <c r="J31" s="33"/>
    </row>
    <row r="32" spans="1:10" ht="13.8" x14ac:dyDescent="0.25">
      <c r="A32" s="6"/>
      <c r="B32" s="6" t="s">
        <v>87</v>
      </c>
      <c r="C32" s="17" t="b">
        <v>0</v>
      </c>
      <c r="D32" s="33" t="b">
        <v>0</v>
      </c>
      <c r="E32" s="33" t="b">
        <v>0</v>
      </c>
      <c r="F32" s="33" t="b">
        <v>0</v>
      </c>
      <c r="G32" s="33" t="b">
        <v>0</v>
      </c>
      <c r="H32" s="33" t="b">
        <v>0</v>
      </c>
      <c r="I32" s="33" t="b">
        <v>0</v>
      </c>
      <c r="J32" s="33" t="b">
        <v>0</v>
      </c>
    </row>
    <row r="33" spans="1:10" ht="13.8" x14ac:dyDescent="0.25">
      <c r="A33" s="6"/>
      <c r="B33" s="6" t="s">
        <v>88</v>
      </c>
      <c r="C33" s="17" t="b">
        <v>0</v>
      </c>
      <c r="D33" s="33"/>
      <c r="E33" s="33"/>
      <c r="F33" s="33"/>
      <c r="G33" s="33"/>
      <c r="H33" s="33"/>
      <c r="I33" s="33"/>
      <c r="J33" s="33"/>
    </row>
    <row r="34" spans="1:10" ht="14.4" x14ac:dyDescent="0.3">
      <c r="A34" s="299" t="s">
        <v>89</v>
      </c>
      <c r="B34" s="297"/>
      <c r="C34" s="26"/>
      <c r="D34" s="299" t="s">
        <v>90</v>
      </c>
      <c r="E34" s="297"/>
      <c r="F34" s="297"/>
      <c r="G34" s="297"/>
      <c r="H34" s="297"/>
      <c r="I34" s="297"/>
      <c r="J34" s="300"/>
    </row>
    <row r="35" spans="1:10" ht="13.8" x14ac:dyDescent="0.25">
      <c r="A35" s="6" t="s">
        <v>91</v>
      </c>
      <c r="B35" s="6" t="s">
        <v>92</v>
      </c>
      <c r="C35" s="17" t="b">
        <v>0</v>
      </c>
      <c r="D35" s="33"/>
      <c r="E35" s="33"/>
      <c r="F35" s="33"/>
      <c r="G35" s="33"/>
      <c r="H35" s="33"/>
      <c r="I35" s="33"/>
      <c r="J35" s="33"/>
    </row>
    <row r="36" spans="1:10" ht="13.8" x14ac:dyDescent="0.25">
      <c r="A36" s="6"/>
      <c r="B36" s="6" t="s">
        <v>93</v>
      </c>
      <c r="C36" s="17" t="b">
        <v>0</v>
      </c>
      <c r="D36" s="33"/>
      <c r="E36" s="33"/>
      <c r="F36" s="33"/>
      <c r="G36" s="33"/>
      <c r="H36" s="33"/>
      <c r="I36" s="33"/>
      <c r="J36" s="33"/>
    </row>
    <row r="37" spans="1:10" ht="13.8" x14ac:dyDescent="0.25">
      <c r="A37" s="6"/>
      <c r="B37" s="6" t="s">
        <v>94</v>
      </c>
      <c r="C37" s="17" t="b">
        <v>0</v>
      </c>
      <c r="D37" s="33"/>
      <c r="E37" s="33"/>
      <c r="F37" s="33"/>
      <c r="G37" s="33"/>
      <c r="H37" s="33"/>
      <c r="I37" s="33"/>
      <c r="J37" s="33"/>
    </row>
    <row r="38" spans="1:10" ht="13.8" x14ac:dyDescent="0.25">
      <c r="A38" s="6"/>
      <c r="B38" s="6" t="s">
        <v>95</v>
      </c>
      <c r="C38" s="17" t="b">
        <v>0</v>
      </c>
      <c r="D38" s="33"/>
      <c r="E38" s="33"/>
      <c r="F38" s="33"/>
      <c r="G38" s="33"/>
      <c r="H38" s="33"/>
      <c r="I38" s="33"/>
      <c r="J38" s="33"/>
    </row>
    <row r="39" spans="1:10" ht="26.4" x14ac:dyDescent="0.25">
      <c r="A39" s="6" t="s">
        <v>96</v>
      </c>
      <c r="B39" s="6" t="s">
        <v>97</v>
      </c>
      <c r="C39" s="17" t="b">
        <v>0</v>
      </c>
      <c r="D39" s="33"/>
      <c r="E39" s="33"/>
      <c r="F39" s="33"/>
      <c r="G39" s="33"/>
      <c r="H39" s="33"/>
      <c r="I39" s="33"/>
      <c r="J39" s="33"/>
    </row>
    <row r="40" spans="1:10" ht="26.4" x14ac:dyDescent="0.25">
      <c r="A40" s="6"/>
      <c r="B40" s="6" t="s">
        <v>98</v>
      </c>
      <c r="C40" s="17" t="b">
        <v>0</v>
      </c>
      <c r="D40" s="33"/>
      <c r="E40" s="33"/>
      <c r="F40" s="33"/>
      <c r="G40" s="33"/>
      <c r="H40" s="33"/>
      <c r="I40" s="33"/>
      <c r="J40" s="33"/>
    </row>
    <row r="41" spans="1:10" ht="26.4" x14ac:dyDescent="0.25">
      <c r="A41" s="6"/>
      <c r="B41" s="6" t="s">
        <v>99</v>
      </c>
      <c r="C41" s="17" t="b">
        <v>0</v>
      </c>
      <c r="D41" s="33"/>
      <c r="E41" s="33"/>
      <c r="F41" s="33"/>
      <c r="G41" s="33"/>
      <c r="H41" s="33"/>
      <c r="I41" s="33"/>
      <c r="J41" s="33"/>
    </row>
    <row r="42" spans="1:10" ht="26.4" x14ac:dyDescent="0.25">
      <c r="A42" s="6"/>
      <c r="B42" s="6" t="s">
        <v>100</v>
      </c>
      <c r="C42" s="17" t="b">
        <v>0</v>
      </c>
      <c r="D42" s="33"/>
      <c r="E42" s="33"/>
      <c r="F42" s="33"/>
      <c r="G42" s="33"/>
      <c r="H42" s="33"/>
      <c r="I42" s="33"/>
      <c r="J42" s="33"/>
    </row>
  </sheetData>
  <mergeCells count="10">
    <mergeCell ref="A27:B27"/>
    <mergeCell ref="A34:B34"/>
    <mergeCell ref="D34:J34"/>
    <mergeCell ref="A1:J1"/>
    <mergeCell ref="A2:J2"/>
    <mergeCell ref="A4:B4"/>
    <mergeCell ref="A13:B13"/>
    <mergeCell ref="A22:B22"/>
    <mergeCell ref="D22:J22"/>
    <mergeCell ref="D27:J27"/>
  </mergeCells>
  <printOptions horizontalCentered="1" gridLines="1"/>
  <pageMargins left="0.7" right="0.7" top="0.75" bottom="0.75" header="0" footer="0"/>
  <pageSetup fitToHeight="0" pageOrder="overThenDown" orientation="landscape" cellComments="atEnd"/>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42"/>
  <sheetViews>
    <sheetView showGridLines="0" workbookViewId="0"/>
  </sheetViews>
  <sheetFormatPr defaultColWidth="12.6640625" defaultRowHeight="15.75" customHeight="1" x14ac:dyDescent="0.25"/>
  <cols>
    <col min="1" max="1" width="3.88671875" customWidth="1"/>
    <col min="2" max="2" width="46" customWidth="1"/>
    <col min="3" max="3" width="11" customWidth="1"/>
    <col min="4" max="7" width="16.88671875" customWidth="1"/>
    <col min="8" max="9" width="15.88671875" hidden="1" customWidth="1"/>
    <col min="10" max="10" width="22.77734375" customWidth="1"/>
    <col min="11" max="12" width="10.88671875" hidden="1" customWidth="1"/>
    <col min="13" max="26" width="10.88671875" customWidth="1"/>
  </cols>
  <sheetData>
    <row r="1" spans="1:26" ht="33" customHeight="1" x14ac:dyDescent="0.3">
      <c r="A1" s="304" t="s">
        <v>101</v>
      </c>
      <c r="B1" s="305"/>
      <c r="C1" s="305"/>
      <c r="D1" s="305"/>
      <c r="E1" s="305"/>
      <c r="F1" s="305"/>
      <c r="G1" s="305"/>
      <c r="H1" s="305"/>
      <c r="I1" s="305"/>
      <c r="J1" s="306"/>
      <c r="K1" s="36"/>
      <c r="L1" s="36"/>
      <c r="M1" s="36"/>
      <c r="N1" s="307" t="s">
        <v>102</v>
      </c>
      <c r="O1" s="297"/>
      <c r="P1" s="297"/>
      <c r="Q1" s="297"/>
      <c r="R1" s="297"/>
      <c r="S1" s="36"/>
      <c r="T1" s="36"/>
      <c r="U1" s="36"/>
      <c r="V1" s="36"/>
      <c r="W1" s="36"/>
      <c r="X1" s="36"/>
      <c r="Y1" s="36"/>
      <c r="Z1" s="36"/>
    </row>
    <row r="2" spans="1:26" ht="35.25" customHeight="1" x14ac:dyDescent="0.3">
      <c r="A2" s="308" t="s">
        <v>103</v>
      </c>
      <c r="B2" s="305"/>
      <c r="C2" s="305"/>
      <c r="D2" s="305"/>
      <c r="E2" s="305"/>
      <c r="F2" s="305"/>
      <c r="G2" s="305"/>
      <c r="H2" s="305"/>
      <c r="I2" s="305"/>
      <c r="J2" s="306"/>
      <c r="K2" s="36"/>
      <c r="L2" s="36"/>
      <c r="M2" s="36"/>
      <c r="N2" s="36"/>
      <c r="O2" s="36"/>
      <c r="P2" s="36"/>
      <c r="Q2" s="36"/>
      <c r="R2" s="36"/>
      <c r="S2" s="36"/>
      <c r="T2" s="36"/>
      <c r="U2" s="36"/>
      <c r="V2" s="36"/>
      <c r="W2" s="36"/>
      <c r="X2" s="36"/>
      <c r="Y2" s="36"/>
      <c r="Z2" s="36"/>
    </row>
    <row r="3" spans="1:26" ht="20.25" customHeight="1" x14ac:dyDescent="0.3">
      <c r="A3" s="309"/>
      <c r="B3" s="297"/>
      <c r="C3" s="297"/>
      <c r="D3" s="297"/>
      <c r="E3" s="297"/>
      <c r="F3" s="297"/>
      <c r="G3" s="297"/>
      <c r="H3" s="297"/>
      <c r="I3" s="297"/>
      <c r="J3" s="297"/>
      <c r="K3" s="36"/>
      <c r="L3" s="36"/>
      <c r="M3" s="36"/>
      <c r="N3" s="36"/>
      <c r="O3" s="36"/>
      <c r="P3" s="36"/>
      <c r="Q3" s="36"/>
      <c r="R3" s="36"/>
      <c r="S3" s="36"/>
      <c r="T3" s="36"/>
      <c r="U3" s="36"/>
      <c r="V3" s="36"/>
      <c r="W3" s="36"/>
      <c r="X3" s="36"/>
      <c r="Y3" s="36"/>
      <c r="Z3" s="36"/>
    </row>
    <row r="4" spans="1:26" ht="20.25" customHeight="1" x14ac:dyDescent="0.3">
      <c r="A4" s="37"/>
      <c r="B4" s="38" t="s">
        <v>104</v>
      </c>
      <c r="C4" s="39"/>
      <c r="D4" s="40">
        <v>0.2</v>
      </c>
      <c r="E4" s="40">
        <v>0.3</v>
      </c>
      <c r="F4" s="40">
        <v>0.5</v>
      </c>
      <c r="G4" s="40">
        <v>0</v>
      </c>
      <c r="H4" s="41">
        <v>1998</v>
      </c>
      <c r="I4" s="41">
        <v>1997</v>
      </c>
      <c r="J4" s="42" t="str">
        <f>IF(SUM(D4:G4)=100%,"","*** WEIGHTING &lt;&gt; 100% ***")</f>
        <v/>
      </c>
      <c r="K4" s="2"/>
      <c r="L4" s="2"/>
      <c r="M4" s="2"/>
      <c r="N4" s="310"/>
      <c r="O4" s="297"/>
      <c r="P4" s="297"/>
      <c r="Q4" s="297"/>
      <c r="R4" s="2"/>
      <c r="S4" s="2"/>
      <c r="T4" s="2"/>
      <c r="U4" s="2"/>
      <c r="V4" s="2"/>
      <c r="W4" s="2"/>
      <c r="X4" s="2"/>
      <c r="Y4" s="2"/>
      <c r="Z4" s="2"/>
    </row>
    <row r="5" spans="1:26" ht="20.25" customHeight="1" x14ac:dyDescent="0.3">
      <c r="A5" s="43"/>
      <c r="B5" s="44"/>
      <c r="C5" s="45"/>
      <c r="D5" s="46" t="s">
        <v>105</v>
      </c>
      <c r="E5" s="47" t="s">
        <v>105</v>
      </c>
      <c r="F5" s="47" t="s">
        <v>105</v>
      </c>
      <c r="G5" s="47" t="s">
        <v>106</v>
      </c>
      <c r="H5" s="48">
        <v>1998</v>
      </c>
      <c r="I5" s="48">
        <v>1997</v>
      </c>
      <c r="J5" s="46" t="s">
        <v>107</v>
      </c>
      <c r="K5" s="49"/>
      <c r="L5" s="49"/>
      <c r="M5" s="36"/>
      <c r="N5" s="311" t="s">
        <v>108</v>
      </c>
      <c r="O5" s="297"/>
      <c r="P5" s="297"/>
      <c r="Q5" s="297"/>
      <c r="R5" s="36"/>
      <c r="S5" s="36"/>
      <c r="T5" s="36"/>
      <c r="U5" s="36"/>
      <c r="V5" s="36"/>
      <c r="W5" s="36"/>
      <c r="X5" s="36"/>
      <c r="Y5" s="36"/>
      <c r="Z5" s="36"/>
    </row>
    <row r="6" spans="1:26" ht="22.5" customHeight="1" x14ac:dyDescent="0.3">
      <c r="A6" s="43">
        <v>1</v>
      </c>
      <c r="B6" s="38" t="s">
        <v>109</v>
      </c>
      <c r="C6" s="45"/>
      <c r="D6" s="50">
        <v>0</v>
      </c>
      <c r="E6" s="50">
        <v>0</v>
      </c>
      <c r="F6" s="50">
        <v>0</v>
      </c>
      <c r="G6" s="50">
        <v>0</v>
      </c>
      <c r="H6" s="51"/>
      <c r="I6" s="51"/>
      <c r="J6" s="52">
        <f t="shared" ref="J6:J15" si="0">SUMPRODUCT(D6:G6,D$4:G$4)</f>
        <v>0</v>
      </c>
      <c r="K6" s="49"/>
      <c r="L6" s="49"/>
      <c r="M6" s="36"/>
      <c r="N6" s="53" t="s">
        <v>110</v>
      </c>
      <c r="O6" s="49"/>
      <c r="P6" s="36"/>
      <c r="Q6" s="36"/>
      <c r="R6" s="36"/>
      <c r="S6" s="36"/>
      <c r="T6" s="36"/>
      <c r="U6" s="36"/>
      <c r="V6" s="36"/>
      <c r="W6" s="36"/>
      <c r="X6" s="36"/>
      <c r="Y6" s="36"/>
      <c r="Z6" s="36"/>
    </row>
    <row r="7" spans="1:26" ht="22.5" customHeight="1" x14ac:dyDescent="0.3">
      <c r="A7" s="43">
        <v>2</v>
      </c>
      <c r="B7" s="38" t="s">
        <v>111</v>
      </c>
      <c r="C7" s="38"/>
      <c r="D7" s="50">
        <v>0</v>
      </c>
      <c r="E7" s="50">
        <v>0</v>
      </c>
      <c r="F7" s="50">
        <v>0</v>
      </c>
      <c r="G7" s="50">
        <v>0</v>
      </c>
      <c r="H7" s="54"/>
      <c r="I7" s="54"/>
      <c r="J7" s="52">
        <f t="shared" si="0"/>
        <v>0</v>
      </c>
      <c r="K7" s="49"/>
      <c r="L7" s="49"/>
      <c r="M7" s="36"/>
      <c r="N7" s="53" t="s">
        <v>112</v>
      </c>
      <c r="P7" s="36"/>
      <c r="Q7" s="36"/>
      <c r="R7" s="36"/>
      <c r="S7" s="36"/>
      <c r="T7" s="36"/>
      <c r="U7" s="36"/>
      <c r="V7" s="36"/>
      <c r="W7" s="36"/>
      <c r="X7" s="36"/>
      <c r="Y7" s="36"/>
      <c r="Z7" s="36"/>
    </row>
    <row r="8" spans="1:26" ht="22.5" customHeight="1" x14ac:dyDescent="0.3">
      <c r="A8" s="43">
        <v>3</v>
      </c>
      <c r="B8" s="38" t="s">
        <v>113</v>
      </c>
      <c r="C8" s="38"/>
      <c r="D8" s="50">
        <v>0</v>
      </c>
      <c r="E8" s="50">
        <v>0</v>
      </c>
      <c r="F8" s="50">
        <v>0</v>
      </c>
      <c r="G8" s="50">
        <v>0</v>
      </c>
      <c r="H8" s="54"/>
      <c r="I8" s="54"/>
      <c r="J8" s="52">
        <f t="shared" si="0"/>
        <v>0</v>
      </c>
      <c r="K8" s="49"/>
      <c r="L8" s="49"/>
      <c r="M8" s="36"/>
      <c r="N8" s="53" t="s">
        <v>114</v>
      </c>
      <c r="P8" s="36"/>
      <c r="Q8" s="36"/>
      <c r="R8" s="36"/>
      <c r="S8" s="36"/>
      <c r="T8" s="36"/>
      <c r="U8" s="36"/>
      <c r="V8" s="36"/>
      <c r="W8" s="36"/>
      <c r="X8" s="36"/>
      <c r="Y8" s="36"/>
      <c r="Z8" s="36"/>
    </row>
    <row r="9" spans="1:26" ht="22.5" customHeight="1" x14ac:dyDescent="0.4">
      <c r="A9" s="43">
        <v>4</v>
      </c>
      <c r="B9" s="38" t="s">
        <v>115</v>
      </c>
      <c r="C9" s="47"/>
      <c r="D9" s="55">
        <f t="shared" ref="D9:G9" si="1">D6-(D7+D8)</f>
        <v>0</v>
      </c>
      <c r="E9" s="55">
        <f t="shared" si="1"/>
        <v>0</v>
      </c>
      <c r="F9" s="55">
        <f t="shared" si="1"/>
        <v>0</v>
      </c>
      <c r="G9" s="55">
        <f t="shared" si="1"/>
        <v>0</v>
      </c>
      <c r="H9" s="51"/>
      <c r="I9" s="51"/>
      <c r="J9" s="52">
        <f t="shared" si="0"/>
        <v>0</v>
      </c>
      <c r="K9" s="49"/>
      <c r="L9" s="49"/>
      <c r="M9" s="56"/>
      <c r="N9" s="53" t="s">
        <v>116</v>
      </c>
      <c r="P9" s="56"/>
      <c r="Q9" s="56"/>
      <c r="R9" s="56"/>
      <c r="S9" s="56"/>
      <c r="T9" s="56"/>
      <c r="U9" s="56"/>
      <c r="V9" s="56"/>
      <c r="W9" s="56"/>
      <c r="X9" s="56"/>
      <c r="Y9" s="56"/>
      <c r="Z9" s="56"/>
    </row>
    <row r="10" spans="1:26" ht="22.5" customHeight="1" x14ac:dyDescent="0.4">
      <c r="A10" s="43">
        <v>5</v>
      </c>
      <c r="B10" s="38" t="s">
        <v>117</v>
      </c>
      <c r="C10" s="47"/>
      <c r="D10" s="57">
        <v>0</v>
      </c>
      <c r="E10" s="57">
        <v>0</v>
      </c>
      <c r="F10" s="57">
        <v>0</v>
      </c>
      <c r="G10" s="57">
        <v>0</v>
      </c>
      <c r="H10" s="51"/>
      <c r="I10" s="51"/>
      <c r="J10" s="52">
        <f t="shared" si="0"/>
        <v>0</v>
      </c>
      <c r="K10" s="49"/>
      <c r="L10" s="49"/>
      <c r="M10" s="56"/>
      <c r="N10" s="53" t="s">
        <v>118</v>
      </c>
      <c r="P10" s="56"/>
      <c r="Q10" s="56"/>
      <c r="R10" s="56"/>
      <c r="S10" s="56"/>
      <c r="T10" s="56"/>
      <c r="U10" s="56"/>
      <c r="V10" s="56"/>
      <c r="W10" s="56"/>
      <c r="X10" s="56"/>
      <c r="Y10" s="56"/>
      <c r="Z10" s="56"/>
    </row>
    <row r="11" spans="1:26" ht="22.5" customHeight="1" x14ac:dyDescent="0.4">
      <c r="A11" s="43">
        <v>6</v>
      </c>
      <c r="B11" s="38" t="s">
        <v>119</v>
      </c>
      <c r="C11" s="47"/>
      <c r="D11" s="57">
        <v>0</v>
      </c>
      <c r="E11" s="57">
        <v>0</v>
      </c>
      <c r="F11" s="57">
        <v>0</v>
      </c>
      <c r="G11" s="57">
        <v>0</v>
      </c>
      <c r="H11" s="54"/>
      <c r="I11" s="54"/>
      <c r="J11" s="52">
        <f t="shared" si="0"/>
        <v>0</v>
      </c>
      <c r="K11" s="49"/>
      <c r="L11" s="49"/>
      <c r="M11" s="56"/>
      <c r="N11" s="53" t="s">
        <v>120</v>
      </c>
      <c r="P11" s="56"/>
      <c r="Q11" s="56"/>
      <c r="R11" s="56"/>
      <c r="S11" s="56"/>
      <c r="T11" s="56"/>
      <c r="U11" s="56"/>
      <c r="V11" s="56"/>
      <c r="W11" s="56"/>
      <c r="X11" s="56"/>
      <c r="Y11" s="56"/>
      <c r="Z11" s="56"/>
    </row>
    <row r="12" spans="1:26" ht="22.5" customHeight="1" x14ac:dyDescent="0.4">
      <c r="A12" s="43">
        <v>7</v>
      </c>
      <c r="B12" s="38" t="s">
        <v>121</v>
      </c>
      <c r="C12" s="47"/>
      <c r="D12" s="57">
        <v>0</v>
      </c>
      <c r="E12" s="57">
        <v>0</v>
      </c>
      <c r="F12" s="57">
        <v>0</v>
      </c>
      <c r="G12" s="57">
        <v>0</v>
      </c>
      <c r="H12" s="54"/>
      <c r="I12" s="54"/>
      <c r="J12" s="52">
        <f t="shared" si="0"/>
        <v>0</v>
      </c>
      <c r="K12" s="49"/>
      <c r="L12" s="49"/>
      <c r="M12" s="56"/>
      <c r="N12" s="53" t="s">
        <v>122</v>
      </c>
      <c r="P12" s="56"/>
      <c r="Q12" s="56"/>
      <c r="R12" s="56"/>
      <c r="S12" s="56"/>
      <c r="T12" s="56"/>
      <c r="U12" s="56"/>
      <c r="V12" s="56"/>
      <c r="W12" s="56"/>
      <c r="X12" s="56"/>
      <c r="Y12" s="56"/>
      <c r="Z12" s="56"/>
    </row>
    <row r="13" spans="1:26" ht="22.5" customHeight="1" x14ac:dyDescent="0.4">
      <c r="A13" s="43">
        <v>8</v>
      </c>
      <c r="B13" s="38" t="s">
        <v>123</v>
      </c>
      <c r="C13" s="47"/>
      <c r="D13" s="57">
        <v>0</v>
      </c>
      <c r="E13" s="57">
        <v>0</v>
      </c>
      <c r="F13" s="57">
        <v>0</v>
      </c>
      <c r="G13" s="57">
        <v>0</v>
      </c>
      <c r="H13" s="54"/>
      <c r="I13" s="54"/>
      <c r="J13" s="52">
        <f t="shared" si="0"/>
        <v>0</v>
      </c>
      <c r="K13" s="49"/>
      <c r="L13" s="49"/>
      <c r="M13" s="56"/>
      <c r="N13" s="53" t="s">
        <v>124</v>
      </c>
      <c r="P13" s="56"/>
      <c r="Q13" s="56"/>
      <c r="R13" s="56"/>
      <c r="S13" s="56"/>
      <c r="T13" s="56"/>
      <c r="U13" s="56"/>
      <c r="V13" s="56"/>
      <c r="W13" s="56"/>
      <c r="X13" s="56"/>
      <c r="Y13" s="56"/>
      <c r="Z13" s="56"/>
    </row>
    <row r="14" spans="1:26" ht="22.5" customHeight="1" x14ac:dyDescent="0.4">
      <c r="A14" s="43">
        <v>9</v>
      </c>
      <c r="B14" s="38" t="s">
        <v>125</v>
      </c>
      <c r="C14" s="47"/>
      <c r="D14" s="57">
        <v>0</v>
      </c>
      <c r="E14" s="57">
        <v>0</v>
      </c>
      <c r="F14" s="57">
        <v>0</v>
      </c>
      <c r="G14" s="57">
        <v>0</v>
      </c>
      <c r="H14" s="51"/>
      <c r="I14" s="51"/>
      <c r="J14" s="52">
        <f t="shared" si="0"/>
        <v>0</v>
      </c>
      <c r="K14" s="49"/>
      <c r="L14" s="49"/>
      <c r="M14" s="56"/>
      <c r="N14" s="53" t="s">
        <v>126</v>
      </c>
      <c r="P14" s="56"/>
      <c r="Q14" s="56"/>
      <c r="R14" s="56"/>
      <c r="S14" s="56"/>
      <c r="T14" s="56"/>
      <c r="U14" s="56"/>
      <c r="V14" s="56"/>
      <c r="W14" s="56"/>
      <c r="X14" s="56"/>
      <c r="Y14" s="56"/>
      <c r="Z14" s="56"/>
    </row>
    <row r="15" spans="1:26" ht="22.5" customHeight="1" x14ac:dyDescent="0.4">
      <c r="A15" s="58">
        <v>10</v>
      </c>
      <c r="B15" s="59" t="s">
        <v>127</v>
      </c>
      <c r="C15" s="60"/>
      <c r="D15" s="55">
        <f t="shared" ref="D15:G15" si="2">SUM(D9:D14)</f>
        <v>0</v>
      </c>
      <c r="E15" s="55">
        <f t="shared" si="2"/>
        <v>0</v>
      </c>
      <c r="F15" s="55">
        <f t="shared" si="2"/>
        <v>0</v>
      </c>
      <c r="G15" s="55">
        <f t="shared" si="2"/>
        <v>0</v>
      </c>
      <c r="H15" s="61" t="e">
        <f t="shared" ref="H15:I15" si="3">H14+#REF!</f>
        <v>#REF!</v>
      </c>
      <c r="I15" s="61" t="e">
        <f t="shared" si="3"/>
        <v>#REF!</v>
      </c>
      <c r="J15" s="52">
        <f t="shared" si="0"/>
        <v>0</v>
      </c>
      <c r="K15" s="49"/>
      <c r="L15" s="49"/>
      <c r="M15" s="56"/>
      <c r="N15" s="62" t="s">
        <v>128</v>
      </c>
      <c r="P15" s="56"/>
      <c r="Q15" s="56"/>
      <c r="R15" s="56"/>
      <c r="S15" s="56"/>
      <c r="T15" s="56"/>
      <c r="U15" s="56"/>
      <c r="V15" s="56"/>
      <c r="W15" s="56"/>
      <c r="X15" s="56"/>
      <c r="Y15" s="56"/>
      <c r="Z15" s="56"/>
    </row>
    <row r="16" spans="1:26" ht="36.75" customHeight="1" x14ac:dyDescent="0.25">
      <c r="A16" s="312" t="s">
        <v>129</v>
      </c>
      <c r="B16" s="297"/>
      <c r="C16" s="297"/>
      <c r="D16" s="297"/>
      <c r="E16" s="297"/>
      <c r="F16" s="297"/>
      <c r="G16" s="297"/>
      <c r="H16" s="297"/>
      <c r="I16" s="297"/>
      <c r="J16" s="297"/>
      <c r="K16" s="49"/>
      <c r="L16" s="49"/>
      <c r="M16" s="63"/>
      <c r="N16" s="53" t="s">
        <v>130</v>
      </c>
      <c r="P16" s="63"/>
      <c r="Q16" s="63"/>
      <c r="R16" s="63"/>
      <c r="S16" s="63"/>
      <c r="T16" s="63"/>
      <c r="U16" s="63"/>
      <c r="V16" s="63"/>
      <c r="W16" s="63"/>
      <c r="X16" s="63"/>
      <c r="Y16" s="63"/>
      <c r="Z16" s="63"/>
    </row>
    <row r="17" spans="1:26" ht="22.5" customHeight="1" x14ac:dyDescent="0.4">
      <c r="A17" s="64">
        <v>11</v>
      </c>
      <c r="B17" s="65" t="s">
        <v>131</v>
      </c>
      <c r="C17" s="66"/>
      <c r="D17" s="67">
        <v>0</v>
      </c>
      <c r="E17" s="67">
        <v>0</v>
      </c>
      <c r="F17" s="67">
        <v>0</v>
      </c>
      <c r="G17" s="67">
        <v>0</v>
      </c>
      <c r="H17" s="67"/>
      <c r="I17" s="67"/>
      <c r="J17" s="52">
        <f t="shared" ref="J17:J42" si="4">SUMPRODUCT(D17:G17,D$4:G$4)</f>
        <v>0</v>
      </c>
      <c r="K17" s="49"/>
      <c r="L17" s="49"/>
      <c r="M17" s="56"/>
      <c r="N17" s="53" t="s">
        <v>132</v>
      </c>
      <c r="P17" s="56"/>
      <c r="Q17" s="56"/>
      <c r="R17" s="56"/>
      <c r="S17" s="56"/>
      <c r="T17" s="56"/>
      <c r="U17" s="56"/>
      <c r="V17" s="56"/>
      <c r="W17" s="56"/>
      <c r="X17" s="56"/>
      <c r="Y17" s="56"/>
      <c r="Z17" s="56"/>
    </row>
    <row r="18" spans="1:26" ht="22.5" customHeight="1" x14ac:dyDescent="0.4">
      <c r="A18" s="43">
        <v>12</v>
      </c>
      <c r="B18" s="68" t="s">
        <v>133</v>
      </c>
      <c r="C18" s="38"/>
      <c r="D18" s="50">
        <v>0</v>
      </c>
      <c r="E18" s="50">
        <v>0</v>
      </c>
      <c r="F18" s="50">
        <v>0</v>
      </c>
      <c r="G18" s="50">
        <v>0</v>
      </c>
      <c r="H18" s="54"/>
      <c r="I18" s="54"/>
      <c r="J18" s="52">
        <f t="shared" si="4"/>
        <v>0</v>
      </c>
      <c r="K18" s="49"/>
      <c r="L18" s="49"/>
      <c r="M18" s="56"/>
      <c r="N18" s="53" t="s">
        <v>134</v>
      </c>
      <c r="P18" s="56"/>
      <c r="Q18" s="56"/>
      <c r="R18" s="56"/>
      <c r="S18" s="56"/>
      <c r="T18" s="56"/>
      <c r="U18" s="56"/>
      <c r="V18" s="56"/>
      <c r="W18" s="56"/>
      <c r="X18" s="56"/>
      <c r="Y18" s="56"/>
      <c r="Z18" s="56"/>
    </row>
    <row r="19" spans="1:26" ht="22.5" customHeight="1" x14ac:dyDescent="0.4">
      <c r="A19" s="64">
        <v>13</v>
      </c>
      <c r="B19" s="68" t="s">
        <v>135</v>
      </c>
      <c r="C19" s="38"/>
      <c r="D19" s="50">
        <v>0</v>
      </c>
      <c r="E19" s="50">
        <v>0</v>
      </c>
      <c r="F19" s="50">
        <v>0</v>
      </c>
      <c r="G19" s="50">
        <v>0</v>
      </c>
      <c r="H19" s="54"/>
      <c r="I19" s="54"/>
      <c r="J19" s="52">
        <f t="shared" si="4"/>
        <v>0</v>
      </c>
      <c r="K19" s="49"/>
      <c r="L19" s="49"/>
      <c r="M19" s="56"/>
      <c r="N19" s="53" t="s">
        <v>136</v>
      </c>
      <c r="P19" s="56"/>
      <c r="Q19" s="56"/>
      <c r="R19" s="56"/>
      <c r="S19" s="56"/>
      <c r="T19" s="56"/>
      <c r="U19" s="56"/>
      <c r="V19" s="56"/>
      <c r="W19" s="56"/>
      <c r="X19" s="56"/>
      <c r="Y19" s="56"/>
      <c r="Z19" s="56"/>
    </row>
    <row r="20" spans="1:26" ht="22.5" customHeight="1" x14ac:dyDescent="0.4">
      <c r="A20" s="43">
        <v>14</v>
      </c>
      <c r="B20" s="68" t="s">
        <v>137</v>
      </c>
      <c r="C20" s="38"/>
      <c r="D20" s="50">
        <v>0</v>
      </c>
      <c r="E20" s="50">
        <v>0</v>
      </c>
      <c r="F20" s="50">
        <v>0</v>
      </c>
      <c r="G20" s="50">
        <v>0</v>
      </c>
      <c r="H20" s="54"/>
      <c r="I20" s="54"/>
      <c r="J20" s="52">
        <f t="shared" si="4"/>
        <v>0</v>
      </c>
      <c r="K20" s="49"/>
      <c r="L20" s="49"/>
      <c r="M20" s="56"/>
      <c r="N20" s="53" t="s">
        <v>138</v>
      </c>
      <c r="P20" s="56"/>
      <c r="Q20" s="56"/>
      <c r="R20" s="56"/>
      <c r="S20" s="56"/>
      <c r="T20" s="56"/>
      <c r="U20" s="56"/>
      <c r="V20" s="56"/>
      <c r="W20" s="56"/>
      <c r="X20" s="56"/>
      <c r="Y20" s="56"/>
      <c r="Z20" s="56"/>
    </row>
    <row r="21" spans="1:26" ht="22.5" customHeight="1" x14ac:dyDescent="0.4">
      <c r="A21" s="64">
        <v>15</v>
      </c>
      <c r="B21" s="68" t="s">
        <v>139</v>
      </c>
      <c r="C21" s="38"/>
      <c r="D21" s="50">
        <v>0</v>
      </c>
      <c r="E21" s="50">
        <v>0</v>
      </c>
      <c r="F21" s="50">
        <v>0</v>
      </c>
      <c r="G21" s="50">
        <v>0</v>
      </c>
      <c r="H21" s="54"/>
      <c r="I21" s="54"/>
      <c r="J21" s="52">
        <f t="shared" si="4"/>
        <v>0</v>
      </c>
      <c r="K21" s="49"/>
      <c r="L21" s="49"/>
      <c r="M21" s="56"/>
      <c r="N21" s="53" t="s">
        <v>140</v>
      </c>
      <c r="P21" s="56"/>
      <c r="Q21" s="56"/>
      <c r="R21" s="56"/>
      <c r="S21" s="56"/>
      <c r="T21" s="56"/>
      <c r="U21" s="56"/>
      <c r="V21" s="56"/>
      <c r="W21" s="56"/>
      <c r="X21" s="56"/>
      <c r="Y21" s="56"/>
      <c r="Z21" s="56"/>
    </row>
    <row r="22" spans="1:26" ht="22.5" customHeight="1" x14ac:dyDescent="0.4">
      <c r="A22" s="43">
        <v>16</v>
      </c>
      <c r="B22" s="68" t="s">
        <v>141</v>
      </c>
      <c r="C22" s="38"/>
      <c r="D22" s="50">
        <v>0</v>
      </c>
      <c r="E22" s="50">
        <v>0</v>
      </c>
      <c r="F22" s="50">
        <v>0</v>
      </c>
      <c r="G22" s="50">
        <v>0</v>
      </c>
      <c r="H22" s="54"/>
      <c r="I22" s="54"/>
      <c r="J22" s="52">
        <f t="shared" si="4"/>
        <v>0</v>
      </c>
      <c r="K22" s="49"/>
      <c r="L22" s="49"/>
      <c r="M22" s="56"/>
      <c r="N22" s="53" t="s">
        <v>142</v>
      </c>
      <c r="P22" s="56"/>
      <c r="Q22" s="56"/>
      <c r="R22" s="56"/>
      <c r="S22" s="56"/>
      <c r="T22" s="56"/>
      <c r="U22" s="56"/>
      <c r="V22" s="56"/>
      <c r="W22" s="56"/>
      <c r="X22" s="56"/>
      <c r="Y22" s="56"/>
      <c r="Z22" s="56"/>
    </row>
    <row r="23" spans="1:26" ht="22.5" customHeight="1" x14ac:dyDescent="0.4">
      <c r="A23" s="64">
        <v>17</v>
      </c>
      <c r="B23" s="68" t="s">
        <v>143</v>
      </c>
      <c r="C23" s="38"/>
      <c r="D23" s="50">
        <v>0</v>
      </c>
      <c r="E23" s="50">
        <v>0</v>
      </c>
      <c r="F23" s="50">
        <v>0</v>
      </c>
      <c r="G23" s="50">
        <v>0</v>
      </c>
      <c r="H23" s="54"/>
      <c r="I23" s="54"/>
      <c r="J23" s="52">
        <f t="shared" si="4"/>
        <v>0</v>
      </c>
      <c r="K23" s="49"/>
      <c r="L23" s="49"/>
      <c r="M23" s="56"/>
      <c r="N23" s="53" t="s">
        <v>144</v>
      </c>
      <c r="P23" s="56"/>
      <c r="Q23" s="56"/>
      <c r="R23" s="56"/>
      <c r="S23" s="56"/>
      <c r="T23" s="56"/>
      <c r="U23" s="56"/>
      <c r="V23" s="56"/>
      <c r="W23" s="56"/>
      <c r="X23" s="56"/>
      <c r="Y23" s="56"/>
      <c r="Z23" s="56"/>
    </row>
    <row r="24" spans="1:26" ht="22.5" customHeight="1" x14ac:dyDescent="0.4">
      <c r="A24" s="43">
        <v>18</v>
      </c>
      <c r="B24" s="68" t="s">
        <v>145</v>
      </c>
      <c r="C24" s="38"/>
      <c r="D24" s="50">
        <v>0</v>
      </c>
      <c r="E24" s="50">
        <v>0</v>
      </c>
      <c r="F24" s="50">
        <v>0</v>
      </c>
      <c r="G24" s="50">
        <v>0</v>
      </c>
      <c r="H24" s="54"/>
      <c r="I24" s="54"/>
      <c r="J24" s="52">
        <f t="shared" si="4"/>
        <v>0</v>
      </c>
      <c r="K24" s="49"/>
      <c r="L24" s="49"/>
      <c r="M24" s="56"/>
      <c r="N24" s="53" t="s">
        <v>146</v>
      </c>
      <c r="P24" s="56"/>
      <c r="Q24" s="56"/>
      <c r="R24" s="56"/>
      <c r="S24" s="56"/>
      <c r="T24" s="56"/>
      <c r="U24" s="56"/>
      <c r="V24" s="56"/>
      <c r="W24" s="56"/>
      <c r="X24" s="56"/>
      <c r="Y24" s="56"/>
      <c r="Z24" s="56"/>
    </row>
    <row r="25" spans="1:26" ht="22.5" customHeight="1" x14ac:dyDescent="0.4">
      <c r="A25" s="64">
        <v>19</v>
      </c>
      <c r="B25" s="68" t="s">
        <v>147</v>
      </c>
      <c r="C25" s="38"/>
      <c r="D25" s="50">
        <v>0</v>
      </c>
      <c r="E25" s="50">
        <v>0</v>
      </c>
      <c r="F25" s="50">
        <v>0</v>
      </c>
      <c r="G25" s="50">
        <v>0</v>
      </c>
      <c r="H25" s="54"/>
      <c r="I25" s="54"/>
      <c r="J25" s="52">
        <f t="shared" si="4"/>
        <v>0</v>
      </c>
      <c r="K25" s="49"/>
      <c r="L25" s="49"/>
      <c r="M25" s="56"/>
      <c r="N25" s="53" t="s">
        <v>148</v>
      </c>
      <c r="P25" s="56"/>
      <c r="Q25" s="56"/>
      <c r="R25" s="56"/>
      <c r="S25" s="56"/>
      <c r="T25" s="56"/>
      <c r="U25" s="56"/>
      <c r="V25" s="56"/>
      <c r="W25" s="56"/>
      <c r="X25" s="56"/>
      <c r="Y25" s="56"/>
      <c r="Z25" s="56"/>
    </row>
    <row r="26" spans="1:26" ht="22.5" customHeight="1" x14ac:dyDescent="0.4">
      <c r="A26" s="43">
        <v>20</v>
      </c>
      <c r="B26" s="68" t="s">
        <v>149</v>
      </c>
      <c r="C26" s="38"/>
      <c r="D26" s="50">
        <v>0</v>
      </c>
      <c r="E26" s="50">
        <v>0</v>
      </c>
      <c r="F26" s="50">
        <v>0</v>
      </c>
      <c r="G26" s="50">
        <v>0</v>
      </c>
      <c r="H26" s="54"/>
      <c r="I26" s="54"/>
      <c r="J26" s="52">
        <f t="shared" si="4"/>
        <v>0</v>
      </c>
      <c r="K26" s="49"/>
      <c r="L26" s="49"/>
      <c r="M26" s="56"/>
      <c r="P26" s="56"/>
      <c r="Q26" s="56"/>
      <c r="R26" s="56"/>
      <c r="S26" s="56"/>
      <c r="T26" s="56"/>
      <c r="U26" s="56"/>
      <c r="V26" s="56"/>
      <c r="W26" s="56"/>
      <c r="X26" s="56"/>
      <c r="Y26" s="56"/>
      <c r="Z26" s="56"/>
    </row>
    <row r="27" spans="1:26" ht="22.5" customHeight="1" x14ac:dyDescent="0.4">
      <c r="A27" s="64">
        <v>21</v>
      </c>
      <c r="B27" s="68" t="s">
        <v>150</v>
      </c>
      <c r="C27" s="38"/>
      <c r="D27" s="50">
        <v>0</v>
      </c>
      <c r="E27" s="50">
        <v>0</v>
      </c>
      <c r="F27" s="50">
        <v>0</v>
      </c>
      <c r="G27" s="50">
        <v>0</v>
      </c>
      <c r="H27" s="54"/>
      <c r="I27" s="54"/>
      <c r="J27" s="52">
        <f t="shared" si="4"/>
        <v>0</v>
      </c>
      <c r="K27" s="49"/>
      <c r="L27" s="49"/>
      <c r="M27" s="56"/>
      <c r="N27" s="69"/>
      <c r="P27" s="56"/>
      <c r="Q27" s="56"/>
      <c r="R27" s="56"/>
      <c r="S27" s="56"/>
      <c r="T27" s="56"/>
      <c r="U27" s="56"/>
      <c r="V27" s="56"/>
      <c r="W27" s="56"/>
      <c r="X27" s="56"/>
      <c r="Y27" s="56"/>
      <c r="Z27" s="56"/>
    </row>
    <row r="28" spans="1:26" ht="22.5" customHeight="1" x14ac:dyDescent="0.4">
      <c r="A28" s="43">
        <v>22</v>
      </c>
      <c r="B28" s="68" t="s">
        <v>151</v>
      </c>
      <c r="C28" s="38"/>
      <c r="D28" s="50">
        <v>0</v>
      </c>
      <c r="E28" s="50">
        <v>0</v>
      </c>
      <c r="F28" s="50">
        <v>0</v>
      </c>
      <c r="G28" s="50">
        <v>0</v>
      </c>
      <c r="H28" s="54"/>
      <c r="I28" s="54"/>
      <c r="J28" s="52">
        <f t="shared" si="4"/>
        <v>0</v>
      </c>
      <c r="K28" s="49"/>
      <c r="L28" s="49"/>
      <c r="M28" s="56"/>
      <c r="N28" s="56"/>
      <c r="O28" s="56"/>
      <c r="P28" s="56"/>
      <c r="Q28" s="56"/>
      <c r="R28" s="56"/>
      <c r="S28" s="56"/>
      <c r="T28" s="56"/>
      <c r="U28" s="56"/>
      <c r="V28" s="56"/>
      <c r="W28" s="56"/>
      <c r="X28" s="56"/>
      <c r="Y28" s="56"/>
      <c r="Z28" s="56"/>
    </row>
    <row r="29" spans="1:26" ht="22.5" customHeight="1" x14ac:dyDescent="0.4">
      <c r="A29" s="64">
        <v>23</v>
      </c>
      <c r="B29" s="68" t="s">
        <v>152</v>
      </c>
      <c r="C29" s="38"/>
      <c r="D29" s="50">
        <v>0</v>
      </c>
      <c r="E29" s="50">
        <v>0</v>
      </c>
      <c r="F29" s="50">
        <v>0</v>
      </c>
      <c r="G29" s="50">
        <v>0</v>
      </c>
      <c r="H29" s="54"/>
      <c r="I29" s="54"/>
      <c r="J29" s="52">
        <f t="shared" si="4"/>
        <v>0</v>
      </c>
      <c r="K29" s="49"/>
      <c r="L29" s="49"/>
      <c r="M29" s="56"/>
      <c r="N29" s="56"/>
      <c r="O29" s="56"/>
      <c r="P29" s="56"/>
      <c r="Q29" s="56"/>
      <c r="R29" s="56"/>
      <c r="S29" s="56"/>
      <c r="T29" s="56"/>
      <c r="U29" s="56"/>
      <c r="V29" s="56"/>
      <c r="W29" s="56"/>
      <c r="X29" s="56"/>
      <c r="Y29" s="56"/>
      <c r="Z29" s="56"/>
    </row>
    <row r="30" spans="1:26" ht="22.5" customHeight="1" x14ac:dyDescent="0.4">
      <c r="A30" s="43">
        <v>24</v>
      </c>
      <c r="B30" s="68" t="s">
        <v>153</v>
      </c>
      <c r="C30" s="38"/>
      <c r="D30" s="50">
        <v>0</v>
      </c>
      <c r="E30" s="50">
        <v>0</v>
      </c>
      <c r="F30" s="50">
        <v>0</v>
      </c>
      <c r="G30" s="50">
        <v>0</v>
      </c>
      <c r="H30" s="54"/>
      <c r="I30" s="54"/>
      <c r="J30" s="52">
        <f t="shared" si="4"/>
        <v>0</v>
      </c>
      <c r="K30" s="49"/>
      <c r="L30" s="49"/>
      <c r="M30" s="56"/>
      <c r="N30" s="56"/>
      <c r="O30" s="56"/>
      <c r="P30" s="56"/>
      <c r="Q30" s="56"/>
      <c r="R30" s="56"/>
      <c r="S30" s="56"/>
      <c r="T30" s="56"/>
      <c r="U30" s="56"/>
      <c r="V30" s="56"/>
      <c r="W30" s="56"/>
      <c r="X30" s="56"/>
      <c r="Y30" s="56"/>
      <c r="Z30" s="56"/>
    </row>
    <row r="31" spans="1:26" ht="22.5" customHeight="1" x14ac:dyDescent="0.4">
      <c r="A31" s="64">
        <v>25</v>
      </c>
      <c r="B31" s="68" t="s">
        <v>154</v>
      </c>
      <c r="C31" s="38"/>
      <c r="D31" s="50">
        <v>0</v>
      </c>
      <c r="E31" s="50">
        <v>0</v>
      </c>
      <c r="F31" s="50">
        <v>0</v>
      </c>
      <c r="G31" s="50">
        <v>0</v>
      </c>
      <c r="H31" s="54"/>
      <c r="I31" s="54"/>
      <c r="J31" s="52">
        <f t="shared" si="4"/>
        <v>0</v>
      </c>
      <c r="K31" s="49"/>
      <c r="L31" s="49"/>
      <c r="M31" s="56"/>
      <c r="N31" s="56"/>
      <c r="O31" s="56"/>
      <c r="P31" s="56"/>
      <c r="Q31" s="56"/>
      <c r="R31" s="56"/>
      <c r="S31" s="56"/>
      <c r="T31" s="56"/>
      <c r="U31" s="56"/>
      <c r="V31" s="56"/>
      <c r="W31" s="56"/>
      <c r="X31" s="56"/>
      <c r="Y31" s="56"/>
      <c r="Z31" s="56"/>
    </row>
    <row r="32" spans="1:26" ht="22.5" customHeight="1" x14ac:dyDescent="0.4">
      <c r="A32" s="43">
        <v>26</v>
      </c>
      <c r="B32" s="68" t="s">
        <v>155</v>
      </c>
      <c r="C32" s="70"/>
      <c r="D32" s="50">
        <v>0</v>
      </c>
      <c r="E32" s="50">
        <v>0</v>
      </c>
      <c r="F32" s="50">
        <v>0</v>
      </c>
      <c r="G32" s="50">
        <v>0</v>
      </c>
      <c r="H32" s="54"/>
      <c r="I32" s="54"/>
      <c r="J32" s="52">
        <f t="shared" si="4"/>
        <v>0</v>
      </c>
      <c r="K32" s="49"/>
      <c r="L32" s="49"/>
      <c r="M32" s="56"/>
      <c r="N32" s="56"/>
      <c r="O32" s="56"/>
      <c r="P32" s="56"/>
      <c r="Q32" s="56"/>
      <c r="R32" s="56"/>
      <c r="S32" s="56"/>
      <c r="T32" s="56"/>
      <c r="U32" s="56"/>
      <c r="V32" s="56"/>
      <c r="W32" s="56"/>
      <c r="X32" s="56"/>
      <c r="Y32" s="56"/>
      <c r="Z32" s="56"/>
    </row>
    <row r="33" spans="1:26" ht="22.5" customHeight="1" x14ac:dyDescent="0.4">
      <c r="A33" s="64">
        <v>27</v>
      </c>
      <c r="B33" s="68" t="s">
        <v>156</v>
      </c>
      <c r="C33" s="38"/>
      <c r="D33" s="50">
        <v>0</v>
      </c>
      <c r="E33" s="50">
        <v>0</v>
      </c>
      <c r="F33" s="50">
        <v>0</v>
      </c>
      <c r="G33" s="50">
        <v>0</v>
      </c>
      <c r="H33" s="54"/>
      <c r="I33" s="54"/>
      <c r="J33" s="52">
        <f t="shared" si="4"/>
        <v>0</v>
      </c>
      <c r="K33" s="49"/>
      <c r="L33" s="49"/>
      <c r="M33" s="56"/>
      <c r="N33" s="56"/>
      <c r="O33" s="56"/>
      <c r="P33" s="56"/>
      <c r="Q33" s="56"/>
      <c r="R33" s="56"/>
      <c r="S33" s="56"/>
      <c r="T33" s="56"/>
      <c r="U33" s="56"/>
      <c r="V33" s="56"/>
      <c r="W33" s="56"/>
      <c r="X33" s="56"/>
      <c r="Y33" s="56"/>
      <c r="Z33" s="56"/>
    </row>
    <row r="34" spans="1:26" ht="22.5" customHeight="1" x14ac:dyDescent="0.4">
      <c r="A34" s="43">
        <v>28</v>
      </c>
      <c r="B34" s="68" t="s">
        <v>157</v>
      </c>
      <c r="C34" s="70"/>
      <c r="D34" s="50">
        <v>0</v>
      </c>
      <c r="E34" s="50">
        <v>0</v>
      </c>
      <c r="F34" s="50">
        <v>0</v>
      </c>
      <c r="G34" s="50">
        <v>0</v>
      </c>
      <c r="H34" s="54"/>
      <c r="I34" s="54"/>
      <c r="J34" s="52">
        <f t="shared" si="4"/>
        <v>0</v>
      </c>
      <c r="K34" s="49"/>
      <c r="L34" s="49"/>
      <c r="M34" s="56"/>
      <c r="N34" s="56"/>
      <c r="O34" s="56"/>
      <c r="P34" s="56"/>
      <c r="Q34" s="56"/>
      <c r="R34" s="56"/>
      <c r="S34" s="56"/>
      <c r="T34" s="56"/>
      <c r="U34" s="56"/>
      <c r="V34" s="56"/>
      <c r="W34" s="56"/>
      <c r="X34" s="56"/>
      <c r="Y34" s="56"/>
      <c r="Z34" s="56"/>
    </row>
    <row r="35" spans="1:26" ht="22.5" customHeight="1" x14ac:dyDescent="0.4">
      <c r="A35" s="64">
        <v>29</v>
      </c>
      <c r="B35" s="68" t="s">
        <v>158</v>
      </c>
      <c r="C35" s="70"/>
      <c r="D35" s="50">
        <v>0</v>
      </c>
      <c r="E35" s="50">
        <v>0</v>
      </c>
      <c r="F35" s="50">
        <v>0</v>
      </c>
      <c r="G35" s="50">
        <v>0</v>
      </c>
      <c r="H35" s="54"/>
      <c r="I35" s="54"/>
      <c r="J35" s="52">
        <f t="shared" si="4"/>
        <v>0</v>
      </c>
      <c r="K35" s="49"/>
      <c r="L35" s="49"/>
      <c r="M35" s="56"/>
      <c r="N35" s="56"/>
      <c r="O35" s="56"/>
      <c r="P35" s="56"/>
      <c r="Q35" s="56"/>
      <c r="R35" s="56"/>
      <c r="S35" s="56"/>
      <c r="T35" s="56"/>
      <c r="U35" s="56"/>
      <c r="V35" s="56"/>
      <c r="W35" s="56"/>
      <c r="X35" s="56"/>
      <c r="Y35" s="56"/>
      <c r="Z35" s="56"/>
    </row>
    <row r="36" spans="1:26" ht="22.5" customHeight="1" x14ac:dyDescent="0.4">
      <c r="A36" s="43">
        <v>30</v>
      </c>
      <c r="B36" s="68" t="s">
        <v>158</v>
      </c>
      <c r="C36" s="70"/>
      <c r="D36" s="50">
        <v>0</v>
      </c>
      <c r="E36" s="50">
        <v>0</v>
      </c>
      <c r="F36" s="50">
        <v>0</v>
      </c>
      <c r="G36" s="50">
        <v>0</v>
      </c>
      <c r="H36" s="54"/>
      <c r="I36" s="54"/>
      <c r="J36" s="52">
        <f t="shared" si="4"/>
        <v>0</v>
      </c>
      <c r="K36" s="49"/>
      <c r="L36" s="49"/>
      <c r="M36" s="56"/>
      <c r="N36" s="56"/>
      <c r="O36" s="56"/>
      <c r="P36" s="56"/>
      <c r="Q36" s="56"/>
      <c r="R36" s="56"/>
      <c r="S36" s="56"/>
      <c r="T36" s="56"/>
      <c r="U36" s="56"/>
      <c r="V36" s="56"/>
      <c r="W36" s="56"/>
      <c r="X36" s="56"/>
      <c r="Y36" s="56"/>
      <c r="Z36" s="56"/>
    </row>
    <row r="37" spans="1:26" ht="22.5" customHeight="1" x14ac:dyDescent="0.4">
      <c r="A37" s="64">
        <v>31</v>
      </c>
      <c r="B37" s="68" t="s">
        <v>158</v>
      </c>
      <c r="C37" s="70"/>
      <c r="D37" s="50">
        <v>0</v>
      </c>
      <c r="E37" s="50">
        <v>0</v>
      </c>
      <c r="F37" s="50">
        <v>0</v>
      </c>
      <c r="G37" s="50">
        <v>0</v>
      </c>
      <c r="H37" s="54"/>
      <c r="I37" s="54"/>
      <c r="J37" s="52">
        <f t="shared" si="4"/>
        <v>0</v>
      </c>
      <c r="K37" s="49"/>
      <c r="L37" s="49"/>
      <c r="M37" s="56"/>
      <c r="N37" s="56"/>
      <c r="O37" s="56"/>
      <c r="P37" s="56"/>
      <c r="Q37" s="56"/>
      <c r="R37" s="56"/>
      <c r="S37" s="56"/>
      <c r="T37" s="56"/>
      <c r="U37" s="56"/>
      <c r="V37" s="56"/>
      <c r="W37" s="56"/>
      <c r="X37" s="56"/>
      <c r="Y37" s="56"/>
      <c r="Z37" s="56"/>
    </row>
    <row r="38" spans="1:26" ht="22.5" customHeight="1" x14ac:dyDescent="0.4">
      <c r="A38" s="43">
        <v>32</v>
      </c>
      <c r="B38" s="68" t="s">
        <v>158</v>
      </c>
      <c r="C38" s="70"/>
      <c r="D38" s="50">
        <v>0</v>
      </c>
      <c r="E38" s="50">
        <v>0</v>
      </c>
      <c r="F38" s="50">
        <v>0</v>
      </c>
      <c r="G38" s="50">
        <v>0</v>
      </c>
      <c r="H38" s="54"/>
      <c r="I38" s="54"/>
      <c r="J38" s="52">
        <f t="shared" si="4"/>
        <v>0</v>
      </c>
      <c r="K38" s="49"/>
      <c r="L38" s="49"/>
      <c r="M38" s="56"/>
      <c r="N38" s="56"/>
      <c r="O38" s="56"/>
      <c r="P38" s="56"/>
      <c r="Q38" s="56"/>
      <c r="R38" s="56"/>
      <c r="S38" s="56"/>
      <c r="T38" s="56"/>
      <c r="U38" s="56"/>
      <c r="V38" s="56"/>
      <c r="W38" s="56"/>
      <c r="X38" s="56"/>
      <c r="Y38" s="56"/>
      <c r="Z38" s="56"/>
    </row>
    <row r="39" spans="1:26" ht="22.5" customHeight="1" x14ac:dyDescent="0.4">
      <c r="A39" s="64">
        <v>33</v>
      </c>
      <c r="B39" s="68" t="s">
        <v>158</v>
      </c>
      <c r="C39" s="70"/>
      <c r="D39" s="50">
        <v>0</v>
      </c>
      <c r="E39" s="50">
        <v>0</v>
      </c>
      <c r="F39" s="50">
        <v>0</v>
      </c>
      <c r="G39" s="50">
        <v>0</v>
      </c>
      <c r="H39" s="54"/>
      <c r="I39" s="54"/>
      <c r="J39" s="52">
        <f t="shared" si="4"/>
        <v>0</v>
      </c>
      <c r="K39" s="49"/>
      <c r="L39" s="49"/>
      <c r="M39" s="56"/>
      <c r="N39" s="56"/>
      <c r="O39" s="56"/>
      <c r="P39" s="56"/>
      <c r="Q39" s="56"/>
      <c r="R39" s="56"/>
      <c r="S39" s="56"/>
      <c r="T39" s="56"/>
      <c r="U39" s="56"/>
      <c r="V39" s="56"/>
      <c r="W39" s="56"/>
      <c r="X39" s="56"/>
      <c r="Y39" s="56"/>
      <c r="Z39" s="56"/>
    </row>
    <row r="40" spans="1:26" ht="22.5" customHeight="1" x14ac:dyDescent="0.4">
      <c r="A40" s="43">
        <v>34</v>
      </c>
      <c r="B40" s="68" t="s">
        <v>158</v>
      </c>
      <c r="C40" s="38"/>
      <c r="D40" s="50">
        <v>0</v>
      </c>
      <c r="E40" s="50">
        <v>0</v>
      </c>
      <c r="F40" s="50">
        <v>0</v>
      </c>
      <c r="G40" s="50">
        <v>0</v>
      </c>
      <c r="H40" s="54"/>
      <c r="I40" s="54"/>
      <c r="J40" s="52">
        <f t="shared" si="4"/>
        <v>0</v>
      </c>
      <c r="K40" s="49"/>
      <c r="L40" s="49"/>
      <c r="M40" s="56"/>
      <c r="N40" s="56"/>
      <c r="O40" s="56"/>
      <c r="P40" s="56"/>
      <c r="Q40" s="56"/>
      <c r="R40" s="56"/>
      <c r="S40" s="56"/>
      <c r="T40" s="56"/>
      <c r="U40" s="56"/>
      <c r="V40" s="56"/>
      <c r="W40" s="56"/>
      <c r="X40" s="56"/>
      <c r="Y40" s="56"/>
      <c r="Z40" s="56"/>
    </row>
    <row r="41" spans="1:26" ht="22.5" customHeight="1" x14ac:dyDescent="0.4">
      <c r="A41" s="64">
        <v>35</v>
      </c>
      <c r="B41" s="38" t="s">
        <v>159</v>
      </c>
      <c r="C41" s="38"/>
      <c r="D41" s="71">
        <f t="shared" ref="D41:G41" si="5">SUM(D17:D40)</f>
        <v>0</v>
      </c>
      <c r="E41" s="52">
        <f t="shared" si="5"/>
        <v>0</v>
      </c>
      <c r="F41" s="52">
        <f t="shared" si="5"/>
        <v>0</v>
      </c>
      <c r="G41" s="52">
        <f t="shared" si="5"/>
        <v>0</v>
      </c>
      <c r="H41" s="51" t="e">
        <f t="shared" ref="H41:I41" si="6">SUM(H14:H40)</f>
        <v>#REF!</v>
      </c>
      <c r="I41" s="51" t="e">
        <f t="shared" si="6"/>
        <v>#REF!</v>
      </c>
      <c r="J41" s="52">
        <f t="shared" si="4"/>
        <v>0</v>
      </c>
      <c r="K41" s="49"/>
      <c r="L41" s="49"/>
      <c r="M41" s="56"/>
      <c r="N41" s="56"/>
      <c r="O41" s="56"/>
      <c r="P41" s="56"/>
      <c r="Q41" s="56"/>
      <c r="R41" s="56"/>
      <c r="S41" s="56"/>
      <c r="T41" s="56"/>
      <c r="U41" s="56"/>
      <c r="V41" s="56"/>
      <c r="W41" s="56"/>
      <c r="X41" s="56"/>
      <c r="Y41" s="56"/>
      <c r="Z41" s="56"/>
    </row>
    <row r="42" spans="1:26" ht="22.5" customHeight="1" x14ac:dyDescent="0.4">
      <c r="A42" s="43">
        <v>36</v>
      </c>
      <c r="B42" s="38" t="s">
        <v>160</v>
      </c>
      <c r="C42" s="38"/>
      <c r="D42" s="71">
        <f t="shared" ref="D42:G42" si="7">D15+D41</f>
        <v>0</v>
      </c>
      <c r="E42" s="52">
        <f t="shared" si="7"/>
        <v>0</v>
      </c>
      <c r="F42" s="52">
        <f t="shared" si="7"/>
        <v>0</v>
      </c>
      <c r="G42" s="52">
        <f t="shared" si="7"/>
        <v>0</v>
      </c>
      <c r="H42" s="51" t="e">
        <f t="shared" ref="H42:I42" si="8">#REF!+H41</f>
        <v>#REF!</v>
      </c>
      <c r="I42" s="51" t="e">
        <f t="shared" si="8"/>
        <v>#REF!</v>
      </c>
      <c r="J42" s="52">
        <f t="shared" si="4"/>
        <v>0</v>
      </c>
      <c r="K42" s="49"/>
      <c r="L42" s="49"/>
      <c r="M42" s="56"/>
      <c r="N42" s="56"/>
      <c r="O42" s="56"/>
      <c r="P42" s="56"/>
      <c r="Q42" s="56"/>
      <c r="R42" s="56"/>
      <c r="S42" s="56"/>
      <c r="T42" s="56"/>
      <c r="U42" s="56"/>
      <c r="V42" s="56"/>
      <c r="W42" s="56"/>
      <c r="X42" s="56"/>
      <c r="Y42" s="56"/>
      <c r="Z42" s="56"/>
    </row>
  </sheetData>
  <mergeCells count="7">
    <mergeCell ref="N5:Q5"/>
    <mergeCell ref="A16:J16"/>
    <mergeCell ref="A1:J1"/>
    <mergeCell ref="N1:R1"/>
    <mergeCell ref="A2:J2"/>
    <mergeCell ref="A3:J3"/>
    <mergeCell ref="N4:Q4"/>
  </mergeCells>
  <hyperlinks>
    <hyperlink ref="N1" r:id="rId1" xr:uid="{00000000-0004-0000-0200-000000000000}"/>
  </hyperlinks>
  <printOptions horizontalCentered="1"/>
  <pageMargins left="0.25" right="0.25" top="0.25" bottom="0.25" header="0" footer="0"/>
  <pageSetup fitToHeight="0"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I60"/>
  <sheetViews>
    <sheetView showGridLines="0" workbookViewId="0"/>
  </sheetViews>
  <sheetFormatPr defaultColWidth="12.6640625" defaultRowHeight="15.75" customHeight="1" x14ac:dyDescent="0.25"/>
  <cols>
    <col min="1" max="1" width="6.109375" customWidth="1"/>
    <col min="2" max="2" width="74.109375" customWidth="1"/>
    <col min="3" max="3" width="15.44140625" customWidth="1"/>
    <col min="4" max="4" width="7.6640625" customWidth="1"/>
    <col min="5" max="5" width="48.33203125" customWidth="1"/>
    <col min="6" max="6" width="26.88671875" customWidth="1"/>
    <col min="7" max="7" width="6.33203125" customWidth="1"/>
    <col min="8" max="8" width="9.44140625" customWidth="1"/>
    <col min="9" max="9" width="30.21875" customWidth="1"/>
  </cols>
  <sheetData>
    <row r="1" spans="1:9" ht="36" customHeight="1" x14ac:dyDescent="0.6">
      <c r="A1" s="72"/>
      <c r="B1" s="327" t="s">
        <v>161</v>
      </c>
      <c r="C1" s="305"/>
      <c r="D1" s="305"/>
      <c r="E1" s="305"/>
      <c r="F1" s="306"/>
      <c r="G1" s="73"/>
      <c r="H1" s="328" t="s">
        <v>162</v>
      </c>
      <c r="I1" s="314"/>
    </row>
    <row r="2" spans="1:9" ht="23.25" customHeight="1" x14ac:dyDescent="0.4">
      <c r="A2" s="73"/>
      <c r="B2" s="73"/>
      <c r="C2" s="73"/>
      <c r="D2" s="73"/>
      <c r="E2" s="73"/>
      <c r="F2" s="73"/>
      <c r="G2" s="73"/>
      <c r="H2" s="329" t="s">
        <v>163</v>
      </c>
      <c r="I2" s="330"/>
    </row>
    <row r="3" spans="1:9" ht="30" customHeight="1" x14ac:dyDescent="0.4">
      <c r="A3" s="73"/>
      <c r="B3" s="74" t="s">
        <v>164</v>
      </c>
      <c r="C3" s="73"/>
      <c r="D3" s="73"/>
      <c r="E3" s="73"/>
      <c r="F3" s="73"/>
      <c r="G3" s="73"/>
      <c r="H3" s="75" t="b">
        <v>0</v>
      </c>
      <c r="I3" s="76" t="s">
        <v>165</v>
      </c>
    </row>
    <row r="4" spans="1:9" ht="15.75" customHeight="1" x14ac:dyDescent="0.4">
      <c r="A4" s="73"/>
      <c r="B4" s="73"/>
      <c r="C4" s="73"/>
      <c r="D4" s="73"/>
      <c r="E4" s="73"/>
      <c r="F4" s="73"/>
      <c r="G4" s="73"/>
      <c r="H4" s="77" t="b">
        <v>0</v>
      </c>
      <c r="I4" s="78" t="s">
        <v>166</v>
      </c>
    </row>
    <row r="5" spans="1:9" ht="15.75" customHeight="1" x14ac:dyDescent="0.4">
      <c r="A5" s="73"/>
      <c r="B5" s="313" t="s">
        <v>167</v>
      </c>
      <c r="C5" s="314"/>
      <c r="D5" s="73"/>
      <c r="E5" s="331" t="s">
        <v>168</v>
      </c>
      <c r="F5" s="332"/>
      <c r="G5" s="73"/>
      <c r="H5" s="77" t="b">
        <v>0</v>
      </c>
      <c r="I5" s="78" t="s">
        <v>169</v>
      </c>
    </row>
    <row r="6" spans="1:9" ht="15.75" customHeight="1" x14ac:dyDescent="0.7">
      <c r="A6" s="73"/>
      <c r="B6" s="79" t="s">
        <v>170</v>
      </c>
      <c r="C6" s="80">
        <v>1000000</v>
      </c>
      <c r="D6" s="73"/>
      <c r="E6" s="81"/>
      <c r="F6" s="82"/>
      <c r="G6" s="73"/>
      <c r="H6" s="77" t="b">
        <v>0</v>
      </c>
      <c r="I6" s="78" t="s">
        <v>171</v>
      </c>
    </row>
    <row r="7" spans="1:9" ht="15.75" customHeight="1" x14ac:dyDescent="0.7">
      <c r="A7" s="73"/>
      <c r="B7" s="79" t="s">
        <v>172</v>
      </c>
      <c r="C7" s="80">
        <v>100000</v>
      </c>
      <c r="D7" s="73"/>
      <c r="E7" s="81"/>
      <c r="F7" s="82"/>
      <c r="G7" s="73"/>
      <c r="H7" s="83" t="b">
        <v>0</v>
      </c>
      <c r="I7" s="84" t="s">
        <v>173</v>
      </c>
    </row>
    <row r="8" spans="1:9" ht="15.75" customHeight="1" x14ac:dyDescent="0.7">
      <c r="A8" s="73"/>
      <c r="B8" s="79" t="s">
        <v>174</v>
      </c>
      <c r="C8" s="80">
        <v>800000</v>
      </c>
      <c r="D8" s="73"/>
      <c r="E8" s="81"/>
      <c r="F8" s="82"/>
      <c r="G8" s="73"/>
      <c r="H8" s="73"/>
      <c r="I8" s="85"/>
    </row>
    <row r="9" spans="1:9" ht="15.75" customHeight="1" x14ac:dyDescent="0.7">
      <c r="A9" s="73"/>
      <c r="B9" s="79" t="s">
        <v>175</v>
      </c>
      <c r="C9" s="80">
        <f>IF(C8&lt;=150000,C8*0.02,IF(C8&lt;=700000,C8*0.03,IF(C8&lt;=1000000,C8*0.035,35000+((C8-1000000)*0.0375))))</f>
        <v>28000.000000000004</v>
      </c>
      <c r="D9" s="73"/>
      <c r="E9" s="81"/>
      <c r="F9" s="82"/>
      <c r="G9" s="73"/>
      <c r="H9" s="73"/>
      <c r="I9" s="85"/>
    </row>
    <row r="10" spans="1:9" ht="15.75" customHeight="1" x14ac:dyDescent="0.7">
      <c r="A10" s="73"/>
      <c r="B10" s="79" t="s">
        <v>176</v>
      </c>
      <c r="C10" s="86">
        <v>0.1</v>
      </c>
      <c r="D10" s="73"/>
      <c r="E10" s="81"/>
      <c r="F10" s="82"/>
      <c r="G10" s="73"/>
      <c r="H10" s="73"/>
      <c r="I10" s="85"/>
    </row>
    <row r="11" spans="1:9" ht="15.75" customHeight="1" x14ac:dyDescent="0.7">
      <c r="A11" s="73"/>
      <c r="B11" s="87" t="s">
        <v>177</v>
      </c>
      <c r="C11" s="88">
        <v>10</v>
      </c>
      <c r="D11" s="73"/>
      <c r="E11" s="81"/>
      <c r="F11" s="82"/>
      <c r="G11" s="73"/>
      <c r="H11" s="318" t="s">
        <v>178</v>
      </c>
      <c r="I11" s="319"/>
    </row>
    <row r="12" spans="1:9" ht="15.75" customHeight="1" x14ac:dyDescent="0.4">
      <c r="A12" s="73"/>
      <c r="B12" s="79" t="s">
        <v>179</v>
      </c>
      <c r="C12" s="89">
        <f>C6-C7-C8</f>
        <v>100000</v>
      </c>
      <c r="D12" s="73"/>
      <c r="E12" s="81"/>
      <c r="F12" s="82"/>
      <c r="G12" s="90"/>
      <c r="H12" s="320"/>
      <c r="I12" s="321"/>
    </row>
    <row r="13" spans="1:9" ht="15.75" customHeight="1" x14ac:dyDescent="0.7">
      <c r="A13" s="73"/>
      <c r="B13" s="79" t="s">
        <v>176</v>
      </c>
      <c r="C13" s="86">
        <v>0.05</v>
      </c>
      <c r="D13" s="73"/>
      <c r="E13" s="81"/>
      <c r="F13" s="82"/>
      <c r="G13" s="90"/>
      <c r="H13" s="333" t="s">
        <v>180</v>
      </c>
      <c r="I13" s="319"/>
    </row>
    <row r="14" spans="1:9" ht="15.75" customHeight="1" x14ac:dyDescent="0.7">
      <c r="A14" s="73"/>
      <c r="B14" s="87" t="s">
        <v>177</v>
      </c>
      <c r="C14" s="91">
        <v>5</v>
      </c>
      <c r="D14" s="73"/>
      <c r="E14" s="81"/>
      <c r="F14" s="82"/>
      <c r="G14" s="90"/>
      <c r="H14" s="320"/>
      <c r="I14" s="321"/>
    </row>
    <row r="15" spans="1:9" ht="15.75" customHeight="1" x14ac:dyDescent="0.4">
      <c r="A15" s="73"/>
      <c r="B15" s="87" t="s">
        <v>181</v>
      </c>
      <c r="C15" s="92">
        <f>(C36+C26-C37)/C26</f>
        <v>2.1110688188373938</v>
      </c>
      <c r="D15" s="73"/>
      <c r="E15" s="81"/>
      <c r="F15" s="82"/>
      <c r="G15" s="90"/>
      <c r="H15" s="320"/>
      <c r="I15" s="321"/>
    </row>
    <row r="16" spans="1:9" ht="15.75" customHeight="1" x14ac:dyDescent="0.7">
      <c r="A16" s="73"/>
      <c r="B16" s="93" t="s">
        <v>182</v>
      </c>
      <c r="C16" s="94">
        <f>PMT(C13/12, C14*12, -C12)+(PMT(C10/12, C11*12, -C8-C9))</f>
        <v>12829.204378210958</v>
      </c>
      <c r="D16" s="73"/>
      <c r="E16" s="81"/>
      <c r="F16" s="82"/>
      <c r="G16" s="90"/>
      <c r="H16" s="320"/>
      <c r="I16" s="321"/>
    </row>
    <row r="17" spans="1:9" ht="15.75" customHeight="1" x14ac:dyDescent="0.4">
      <c r="A17" s="73"/>
      <c r="B17" s="95"/>
      <c r="C17" s="95"/>
      <c r="D17" s="73"/>
      <c r="E17" s="81"/>
      <c r="F17" s="82"/>
      <c r="G17" s="90"/>
      <c r="H17" s="320"/>
      <c r="I17" s="321"/>
    </row>
    <row r="18" spans="1:9" ht="15.75" customHeight="1" x14ac:dyDescent="0.4">
      <c r="A18" s="73"/>
      <c r="B18" s="313" t="s">
        <v>183</v>
      </c>
      <c r="C18" s="314"/>
      <c r="D18" s="73"/>
      <c r="E18" s="81"/>
      <c r="F18" s="82"/>
      <c r="G18" s="90"/>
      <c r="H18" s="320"/>
      <c r="I18" s="321"/>
    </row>
    <row r="19" spans="1:9" ht="15.75" customHeight="1" x14ac:dyDescent="0.7">
      <c r="A19" s="73"/>
      <c r="B19" s="95" t="s">
        <v>184</v>
      </c>
      <c r="C19" s="96">
        <v>1500000</v>
      </c>
      <c r="D19" s="73"/>
      <c r="E19" s="81"/>
      <c r="F19" s="82"/>
      <c r="G19" s="90"/>
      <c r="H19" s="320"/>
      <c r="I19" s="321"/>
    </row>
    <row r="20" spans="1:9" ht="15.75" customHeight="1" x14ac:dyDescent="0.7">
      <c r="A20" s="73"/>
      <c r="B20" s="93" t="s">
        <v>185</v>
      </c>
      <c r="C20" s="94">
        <f>C19</f>
        <v>1500000</v>
      </c>
      <c r="D20" s="73"/>
      <c r="E20" s="81"/>
      <c r="F20" s="82"/>
      <c r="G20" s="90"/>
      <c r="H20" s="320"/>
      <c r="I20" s="321"/>
    </row>
    <row r="21" spans="1:9" ht="15.75" customHeight="1" x14ac:dyDescent="0.4">
      <c r="A21" s="73"/>
      <c r="B21" s="95"/>
      <c r="C21" s="95"/>
      <c r="D21" s="73"/>
      <c r="E21" s="81"/>
      <c r="F21" s="82"/>
      <c r="G21" s="90"/>
      <c r="H21" s="320"/>
      <c r="I21" s="321"/>
    </row>
    <row r="22" spans="1:9" ht="15.75" customHeight="1" x14ac:dyDescent="0.4">
      <c r="A22" s="73"/>
      <c r="B22" s="313" t="s">
        <v>186</v>
      </c>
      <c r="C22" s="314"/>
      <c r="D22" s="73"/>
      <c r="E22" s="81"/>
      <c r="F22" s="82"/>
      <c r="G22" s="90"/>
      <c r="H22" s="334"/>
      <c r="I22" s="335"/>
    </row>
    <row r="23" spans="1:9" ht="15.75" customHeight="1" x14ac:dyDescent="0.7">
      <c r="A23" s="73"/>
      <c r="B23" s="95" t="s">
        <v>187</v>
      </c>
      <c r="C23" s="97">
        <v>1050000</v>
      </c>
      <c r="D23" s="73"/>
      <c r="E23" s="81"/>
      <c r="F23" s="82"/>
      <c r="G23" s="73"/>
      <c r="H23" s="98"/>
      <c r="I23" s="99"/>
    </row>
    <row r="24" spans="1:9" ht="15.75" customHeight="1" x14ac:dyDescent="0.7">
      <c r="A24" s="73"/>
      <c r="B24" s="95" t="s">
        <v>188</v>
      </c>
      <c r="C24" s="97">
        <v>200000</v>
      </c>
      <c r="D24" s="73"/>
      <c r="E24" s="81"/>
      <c r="F24" s="82"/>
      <c r="G24" s="73"/>
      <c r="H24" s="98"/>
      <c r="I24" s="99"/>
    </row>
    <row r="25" spans="1:9" ht="15.75" customHeight="1" x14ac:dyDescent="0.7">
      <c r="A25" s="73"/>
      <c r="B25" s="95" t="s">
        <v>189</v>
      </c>
      <c r="C25" s="97">
        <v>0</v>
      </c>
      <c r="D25" s="73"/>
      <c r="E25" s="73"/>
      <c r="F25" s="73"/>
      <c r="G25" s="73"/>
      <c r="H25" s="318" t="s">
        <v>190</v>
      </c>
      <c r="I25" s="319"/>
    </row>
    <row r="26" spans="1:9" ht="15.75" customHeight="1" x14ac:dyDescent="0.4">
      <c r="A26" s="73"/>
      <c r="B26" s="95" t="s">
        <v>191</v>
      </c>
      <c r="C26" s="100">
        <f>C16*12</f>
        <v>153950.45253853151</v>
      </c>
      <c r="D26" s="73"/>
      <c r="E26" s="322" t="s">
        <v>192</v>
      </c>
      <c r="F26" s="314"/>
      <c r="G26" s="73"/>
      <c r="H26" s="320"/>
      <c r="I26" s="321"/>
    </row>
    <row r="27" spans="1:9" ht="15.75" customHeight="1" x14ac:dyDescent="0.7">
      <c r="A27" s="73"/>
      <c r="B27" s="95" t="s">
        <v>193</v>
      </c>
      <c r="C27" s="97">
        <v>0</v>
      </c>
      <c r="D27" s="90"/>
      <c r="E27" s="101" t="s">
        <v>194</v>
      </c>
      <c r="F27" s="102">
        <f>(C20-C24)/C20</f>
        <v>0.8666666666666667</v>
      </c>
      <c r="G27" s="103"/>
      <c r="H27" s="323" t="s">
        <v>195</v>
      </c>
      <c r="I27" s="324"/>
    </row>
    <row r="28" spans="1:9" ht="15.75" customHeight="1" x14ac:dyDescent="0.7">
      <c r="A28" s="73"/>
      <c r="B28" s="93" t="s">
        <v>196</v>
      </c>
      <c r="C28" s="94">
        <f>SUM(C23:C27)</f>
        <v>1403950.4525385315</v>
      </c>
      <c r="D28" s="90"/>
      <c r="E28" s="73" t="s">
        <v>197</v>
      </c>
      <c r="F28" s="104">
        <f>(C36+C26)/C20</f>
        <v>0.21666666666666667</v>
      </c>
      <c r="G28" s="103"/>
      <c r="H28" s="320"/>
      <c r="I28" s="325"/>
    </row>
    <row r="29" spans="1:9" ht="15.75" customHeight="1" x14ac:dyDescent="0.4">
      <c r="A29" s="73"/>
      <c r="B29" s="95"/>
      <c r="C29" s="95"/>
      <c r="D29" s="90"/>
      <c r="E29" s="101" t="s">
        <v>198</v>
      </c>
      <c r="F29" s="102">
        <f>C36/C7</f>
        <v>1.710495474614685</v>
      </c>
      <c r="G29" s="103"/>
      <c r="H29" s="320"/>
      <c r="I29" s="325"/>
    </row>
    <row r="30" spans="1:9" ht="15.75" customHeight="1" x14ac:dyDescent="0.7">
      <c r="A30" s="73"/>
      <c r="B30" s="315" t="s">
        <v>199</v>
      </c>
      <c r="C30" s="314"/>
      <c r="D30" s="73"/>
      <c r="E30" s="73" t="s">
        <v>200</v>
      </c>
      <c r="F30" s="104">
        <f>(C19-((C23+C25+C26+C27-C31)/F27))/C19</f>
        <v>0.13157657497036038</v>
      </c>
      <c r="G30" s="90"/>
      <c r="H30" s="320"/>
      <c r="I30" s="325"/>
    </row>
    <row r="31" spans="1:9" ht="15.75" customHeight="1" x14ac:dyDescent="0.7">
      <c r="A31" s="73"/>
      <c r="B31" s="105" t="s">
        <v>201</v>
      </c>
      <c r="C31" s="97">
        <v>75000</v>
      </c>
      <c r="D31" s="73"/>
      <c r="E31" s="73"/>
      <c r="F31" s="73"/>
      <c r="G31" s="90"/>
      <c r="H31" s="320"/>
      <c r="I31" s="325"/>
    </row>
    <row r="32" spans="1:9" ht="15.75" customHeight="1" x14ac:dyDescent="0.7">
      <c r="A32" s="73"/>
      <c r="B32" s="106" t="s">
        <v>202</v>
      </c>
      <c r="C32" s="107">
        <v>0</v>
      </c>
      <c r="D32" s="73"/>
      <c r="E32" s="322" t="s">
        <v>203</v>
      </c>
      <c r="F32" s="314"/>
      <c r="G32" s="90"/>
      <c r="H32" s="320"/>
      <c r="I32" s="325"/>
    </row>
    <row r="33" spans="1:9" ht="15.75" customHeight="1" x14ac:dyDescent="0.4">
      <c r="A33" s="73"/>
      <c r="B33" s="95"/>
      <c r="C33" s="95"/>
      <c r="D33" s="73"/>
      <c r="E33" s="101" t="s">
        <v>204</v>
      </c>
      <c r="F33" s="102">
        <f>((C36)-C7)/C7</f>
        <v>0.71049547461468499</v>
      </c>
      <c r="G33" s="90"/>
      <c r="H33" s="320"/>
      <c r="I33" s="325"/>
    </row>
    <row r="34" spans="1:9" ht="15.75" customHeight="1" x14ac:dyDescent="0.4">
      <c r="A34" s="73"/>
      <c r="B34" s="313" t="s">
        <v>205</v>
      </c>
      <c r="C34" s="314"/>
      <c r="D34" s="73"/>
      <c r="E34" s="73" t="s">
        <v>206</v>
      </c>
      <c r="F34" s="104">
        <f>((C36*2)-C7)/C7</f>
        <v>2.42099094922937</v>
      </c>
      <c r="G34" s="90"/>
      <c r="H34" s="320"/>
      <c r="I34" s="325"/>
    </row>
    <row r="35" spans="1:9" ht="15.75" customHeight="1" x14ac:dyDescent="0.4">
      <c r="A35" s="73"/>
      <c r="B35" s="95" t="s">
        <v>207</v>
      </c>
      <c r="C35" s="108">
        <f>(C20-C28+C31)/12</f>
        <v>14254.128955122374</v>
      </c>
      <c r="D35" s="73"/>
      <c r="E35" s="101" t="s">
        <v>208</v>
      </c>
      <c r="F35" s="102">
        <f>((C36*3)-C7)/C7</f>
        <v>4.1314864238440547</v>
      </c>
      <c r="G35" s="90"/>
      <c r="H35" s="320"/>
      <c r="I35" s="325"/>
    </row>
    <row r="36" spans="1:9" ht="15.75" customHeight="1" x14ac:dyDescent="0.4">
      <c r="A36" s="73"/>
      <c r="B36" s="95" t="s">
        <v>209</v>
      </c>
      <c r="C36" s="108">
        <f>(C20-C28+C31)</f>
        <v>171049.54746146849</v>
      </c>
      <c r="D36" s="73"/>
      <c r="E36" s="109" t="s">
        <v>210</v>
      </c>
      <c r="F36" s="109"/>
      <c r="G36" s="73"/>
      <c r="H36" s="320"/>
      <c r="I36" s="325"/>
    </row>
    <row r="37" spans="1:9" ht="15.75" customHeight="1" x14ac:dyDescent="0.7">
      <c r="A37" s="73"/>
      <c r="B37" s="95" t="s">
        <v>211</v>
      </c>
      <c r="C37" s="110">
        <v>0</v>
      </c>
      <c r="D37" s="73"/>
      <c r="E37" s="73"/>
      <c r="F37" s="73"/>
      <c r="G37" s="73"/>
      <c r="H37" s="320"/>
      <c r="I37" s="325"/>
    </row>
    <row r="38" spans="1:9" ht="15.75" customHeight="1" x14ac:dyDescent="0.4">
      <c r="A38" s="73"/>
      <c r="B38" s="95" t="s">
        <v>212</v>
      </c>
      <c r="C38" s="108">
        <f>C20-C23-C24-C25+C31</f>
        <v>325000</v>
      </c>
      <c r="D38" s="73"/>
      <c r="E38" s="73"/>
      <c r="F38" s="73"/>
      <c r="G38" s="73"/>
      <c r="H38" s="320"/>
      <c r="I38" s="325"/>
    </row>
    <row r="39" spans="1:9" ht="15.75" customHeight="1" x14ac:dyDescent="0.4">
      <c r="A39" s="73"/>
      <c r="B39" s="297"/>
      <c r="C39" s="297"/>
      <c r="D39" s="297"/>
      <c r="E39" s="322" t="s">
        <v>213</v>
      </c>
      <c r="F39" s="314"/>
      <c r="G39" s="73"/>
      <c r="H39" s="320"/>
      <c r="I39" s="325"/>
    </row>
    <row r="40" spans="1:9" ht="15.75" customHeight="1" x14ac:dyDescent="0.4">
      <c r="A40" s="73"/>
      <c r="B40" s="316" t="s">
        <v>214</v>
      </c>
      <c r="C40" s="314"/>
      <c r="D40" s="73"/>
      <c r="E40" s="111" t="s">
        <v>215</v>
      </c>
      <c r="F40" s="112">
        <f>'Step 1 Deal Box'!C5</f>
        <v>100000</v>
      </c>
      <c r="G40" s="73"/>
      <c r="H40" s="326"/>
      <c r="I40" s="306"/>
    </row>
    <row r="41" spans="1:9" ht="15.75" customHeight="1" x14ac:dyDescent="0.7">
      <c r="A41" s="73"/>
      <c r="B41" s="113" t="s">
        <v>170</v>
      </c>
      <c r="C41" s="113" t="s">
        <v>216</v>
      </c>
      <c r="D41" s="73"/>
      <c r="E41" s="73" t="s">
        <v>217</v>
      </c>
      <c r="F41" s="114">
        <f>C36</f>
        <v>171049.54746146849</v>
      </c>
      <c r="H41" s="73"/>
      <c r="I41" s="85"/>
    </row>
    <row r="42" spans="1:9" ht="15.75" customHeight="1" x14ac:dyDescent="0.4">
      <c r="A42" s="73"/>
      <c r="B42" s="115" t="str">
        <f>"Asking Price Of "&amp;TEXT(C6,"$0,000") &amp; IF(C32&gt;0," With "&amp;TEXT(C32,"$0,000") &amp; " of Working Capital","")</f>
        <v>Asking Price Of $1,000,000</v>
      </c>
      <c r="C42" s="116">
        <f>(C6-C32)/C38</f>
        <v>3.0769230769230771</v>
      </c>
      <c r="D42" s="90"/>
      <c r="E42" s="73" t="s">
        <v>218</v>
      </c>
      <c r="F42" s="114">
        <f>'Step 1 Deal Box'!C11</f>
        <v>572000</v>
      </c>
      <c r="G42" s="73"/>
      <c r="H42" s="73"/>
      <c r="I42" s="85"/>
    </row>
    <row r="43" spans="1:9" ht="15.75" customHeight="1" x14ac:dyDescent="0.4">
      <c r="A43" s="73"/>
      <c r="B43" s="117">
        <f t="shared" ref="B43:B59" si="0">(C$38*C43)+C$32</f>
        <v>650000</v>
      </c>
      <c r="C43" s="118">
        <v>2</v>
      </c>
      <c r="D43" s="90"/>
      <c r="E43" s="98" t="s">
        <v>219</v>
      </c>
      <c r="F43" s="119">
        <f>C6</f>
        <v>1000000</v>
      </c>
      <c r="G43" s="73"/>
      <c r="H43" s="73"/>
      <c r="I43" s="85"/>
    </row>
    <row r="44" spans="1:9" ht="15.75" customHeight="1" x14ac:dyDescent="0.4">
      <c r="A44" s="73"/>
      <c r="B44" s="117">
        <f t="shared" si="0"/>
        <v>682500</v>
      </c>
      <c r="C44" s="118">
        <v>2.1</v>
      </c>
      <c r="D44" s="90"/>
      <c r="E44" s="111"/>
      <c r="F44" s="111"/>
      <c r="G44" s="73"/>
      <c r="H44" s="73"/>
      <c r="I44" s="85"/>
    </row>
    <row r="45" spans="1:9" ht="15.75" customHeight="1" x14ac:dyDescent="0.4">
      <c r="A45" s="73"/>
      <c r="B45" s="117">
        <f t="shared" si="0"/>
        <v>715000</v>
      </c>
      <c r="C45" s="118">
        <v>2.2000000000000002</v>
      </c>
      <c r="D45" s="73"/>
      <c r="E45" s="73"/>
      <c r="F45" s="73"/>
      <c r="G45" s="120"/>
      <c r="H45" s="73"/>
      <c r="I45" s="85"/>
    </row>
    <row r="46" spans="1:9" ht="15.75" customHeight="1" x14ac:dyDescent="0.4">
      <c r="A46" s="73"/>
      <c r="B46" s="117">
        <f t="shared" si="0"/>
        <v>747500</v>
      </c>
      <c r="C46" s="118">
        <v>2.2999999999999998</v>
      </c>
      <c r="D46" s="73"/>
      <c r="E46" s="73"/>
      <c r="F46" s="73"/>
      <c r="G46" s="73"/>
      <c r="H46" s="73"/>
      <c r="I46" s="85"/>
    </row>
    <row r="47" spans="1:9" ht="15.75" customHeight="1" x14ac:dyDescent="0.4">
      <c r="A47" s="73"/>
      <c r="B47" s="117">
        <f t="shared" si="0"/>
        <v>780000</v>
      </c>
      <c r="C47" s="118">
        <v>2.4</v>
      </c>
      <c r="D47" s="73"/>
      <c r="E47" s="73"/>
      <c r="F47" s="73"/>
      <c r="G47" s="73"/>
      <c r="H47" s="73"/>
      <c r="I47" s="85"/>
    </row>
    <row r="48" spans="1:9" ht="15.75" customHeight="1" x14ac:dyDescent="0.4">
      <c r="A48" s="73"/>
      <c r="B48" s="117">
        <f t="shared" si="0"/>
        <v>812500</v>
      </c>
      <c r="C48" s="118">
        <v>2.5</v>
      </c>
      <c r="D48" s="73"/>
      <c r="E48" s="73"/>
      <c r="F48" s="73"/>
      <c r="G48" s="73"/>
      <c r="H48" s="73"/>
      <c r="I48" s="85"/>
    </row>
    <row r="49" spans="1:9" ht="15.75" customHeight="1" x14ac:dyDescent="0.4">
      <c r="A49" s="73"/>
      <c r="B49" s="117">
        <f t="shared" si="0"/>
        <v>845000</v>
      </c>
      <c r="C49" s="118">
        <v>2.6</v>
      </c>
      <c r="D49" s="73"/>
      <c r="E49" s="73"/>
      <c r="F49" s="73"/>
      <c r="G49" s="73"/>
      <c r="H49" s="73"/>
      <c r="I49" s="85"/>
    </row>
    <row r="50" spans="1:9" ht="15.75" customHeight="1" x14ac:dyDescent="0.4">
      <c r="A50" s="73"/>
      <c r="B50" s="117">
        <f t="shared" si="0"/>
        <v>877500</v>
      </c>
      <c r="C50" s="118">
        <v>2.7</v>
      </c>
      <c r="D50" s="73"/>
      <c r="E50" s="73"/>
      <c r="F50" s="73"/>
      <c r="G50" s="73"/>
      <c r="H50" s="73"/>
      <c r="I50" s="85"/>
    </row>
    <row r="51" spans="1:9" ht="15.75" customHeight="1" x14ac:dyDescent="0.4">
      <c r="A51" s="73"/>
      <c r="B51" s="117">
        <f t="shared" si="0"/>
        <v>910000</v>
      </c>
      <c r="C51" s="118">
        <v>2.8</v>
      </c>
      <c r="D51" s="73"/>
      <c r="E51" s="73"/>
      <c r="F51" s="73"/>
      <c r="G51" s="73"/>
      <c r="H51" s="73"/>
      <c r="I51" s="85"/>
    </row>
    <row r="52" spans="1:9" ht="15.75" customHeight="1" x14ac:dyDescent="0.4">
      <c r="A52" s="73"/>
      <c r="B52" s="117">
        <f t="shared" si="0"/>
        <v>942500</v>
      </c>
      <c r="C52" s="118">
        <v>2.9</v>
      </c>
      <c r="D52" s="73"/>
      <c r="E52" s="73"/>
      <c r="F52" s="73"/>
      <c r="G52" s="73"/>
      <c r="H52" s="73"/>
      <c r="I52" s="85"/>
    </row>
    <row r="53" spans="1:9" ht="15.75" customHeight="1" x14ac:dyDescent="0.4">
      <c r="A53" s="73"/>
      <c r="B53" s="117">
        <f t="shared" si="0"/>
        <v>975000</v>
      </c>
      <c r="C53" s="118">
        <v>3</v>
      </c>
      <c r="D53" s="73"/>
      <c r="E53" s="73"/>
      <c r="F53" s="73"/>
      <c r="G53" s="73"/>
      <c r="H53" s="73"/>
      <c r="I53" s="85"/>
    </row>
    <row r="54" spans="1:9" ht="15.75" customHeight="1" x14ac:dyDescent="0.4">
      <c r="A54" s="73"/>
      <c r="B54" s="117">
        <f t="shared" si="0"/>
        <v>1007500</v>
      </c>
      <c r="C54" s="118">
        <v>3.1</v>
      </c>
      <c r="D54" s="73"/>
      <c r="E54" s="73"/>
      <c r="F54" s="73"/>
      <c r="G54" s="73"/>
      <c r="H54" s="73"/>
      <c r="I54" s="85"/>
    </row>
    <row r="55" spans="1:9" ht="15.75" customHeight="1" x14ac:dyDescent="0.4">
      <c r="A55" s="73"/>
      <c r="B55" s="117">
        <f t="shared" si="0"/>
        <v>1040000</v>
      </c>
      <c r="C55" s="118">
        <v>3.2</v>
      </c>
      <c r="D55" s="73"/>
      <c r="E55" s="73"/>
      <c r="F55" s="73"/>
      <c r="G55" s="73"/>
      <c r="H55" s="73"/>
      <c r="I55" s="85"/>
    </row>
    <row r="56" spans="1:9" ht="15.75" customHeight="1" x14ac:dyDescent="0.4">
      <c r="A56" s="73"/>
      <c r="B56" s="117">
        <f t="shared" si="0"/>
        <v>1072500</v>
      </c>
      <c r="C56" s="118">
        <v>3.3</v>
      </c>
      <c r="D56" s="73"/>
      <c r="E56" s="73"/>
      <c r="F56" s="73"/>
      <c r="G56" s="73"/>
      <c r="H56" s="73"/>
      <c r="I56" s="85"/>
    </row>
    <row r="57" spans="1:9" ht="15.75" customHeight="1" x14ac:dyDescent="0.4">
      <c r="A57" s="73"/>
      <c r="B57" s="117">
        <f t="shared" si="0"/>
        <v>1105000</v>
      </c>
      <c r="C57" s="118">
        <v>3.4</v>
      </c>
      <c r="D57" s="90"/>
      <c r="E57" s="73"/>
      <c r="F57" s="73"/>
      <c r="G57" s="73"/>
      <c r="H57" s="73"/>
      <c r="I57" s="73"/>
    </row>
    <row r="58" spans="1:9" ht="15.75" customHeight="1" x14ac:dyDescent="0.4">
      <c r="A58" s="73"/>
      <c r="B58" s="117">
        <f t="shared" si="0"/>
        <v>1137500</v>
      </c>
      <c r="C58" s="118">
        <v>3.5</v>
      </c>
      <c r="D58" s="90"/>
      <c r="E58" s="73"/>
      <c r="F58" s="73"/>
      <c r="G58" s="73"/>
      <c r="H58" s="73"/>
      <c r="I58" s="73"/>
    </row>
    <row r="59" spans="1:9" ht="27.75" customHeight="1" x14ac:dyDescent="0.4">
      <c r="A59" s="73"/>
      <c r="B59" s="117">
        <f t="shared" si="0"/>
        <v>926250</v>
      </c>
      <c r="C59" s="121">
        <v>2.85</v>
      </c>
      <c r="D59" s="90"/>
      <c r="E59" s="73"/>
      <c r="F59" s="73"/>
      <c r="G59" s="73"/>
      <c r="H59" s="73"/>
      <c r="I59" s="73"/>
    </row>
    <row r="60" spans="1:9" ht="36.75" customHeight="1" x14ac:dyDescent="0.4">
      <c r="A60" s="122"/>
      <c r="B60" s="73"/>
      <c r="C60" s="317" t="s">
        <v>220</v>
      </c>
      <c r="D60" s="314"/>
      <c r="E60" s="73"/>
      <c r="F60" s="73"/>
      <c r="G60" s="73"/>
      <c r="H60" s="73"/>
      <c r="I60" s="73"/>
    </row>
  </sheetData>
  <mergeCells count="19">
    <mergeCell ref="H11:I12"/>
    <mergeCell ref="H13:I22"/>
    <mergeCell ref="B1:F1"/>
    <mergeCell ref="H1:I1"/>
    <mergeCell ref="H2:I2"/>
    <mergeCell ref="B5:C5"/>
    <mergeCell ref="E5:F5"/>
    <mergeCell ref="B40:C40"/>
    <mergeCell ref="C60:D60"/>
    <mergeCell ref="H25:I26"/>
    <mergeCell ref="E26:F26"/>
    <mergeCell ref="H27:I40"/>
    <mergeCell ref="E32:F32"/>
    <mergeCell ref="E39:F39"/>
    <mergeCell ref="B18:C18"/>
    <mergeCell ref="B22:C22"/>
    <mergeCell ref="B30:C30"/>
    <mergeCell ref="B34:C34"/>
    <mergeCell ref="B39:D39"/>
  </mergeCells>
  <hyperlinks>
    <hyperlink ref="H1" r:id="rId1" xr:uid="{00000000-0004-0000-0300-000000000000}"/>
  </hyperlink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I31"/>
  <sheetViews>
    <sheetView workbookViewId="0">
      <pane ySplit="4" topLeftCell="A5" activePane="bottomLeft" state="frozen"/>
      <selection pane="bottomLeft" activeCell="B6" sqref="B6"/>
    </sheetView>
  </sheetViews>
  <sheetFormatPr defaultColWidth="12.6640625" defaultRowHeight="15.75" customHeight="1" x14ac:dyDescent="0.25"/>
  <cols>
    <col min="1" max="1" width="18.44140625" customWidth="1"/>
    <col min="2" max="2" width="31.21875" customWidth="1"/>
    <col min="3" max="3" width="47.77734375" customWidth="1"/>
    <col min="4" max="4" width="42" customWidth="1"/>
    <col min="5" max="5" width="16.109375" customWidth="1"/>
    <col min="6" max="6" width="16.77734375" customWidth="1"/>
    <col min="7" max="7" width="4.44140625" customWidth="1"/>
    <col min="8" max="8" width="7.77734375" customWidth="1"/>
    <col min="9" max="9" width="29.109375" customWidth="1"/>
  </cols>
  <sheetData>
    <row r="1" spans="1:9" ht="14.4" x14ac:dyDescent="0.35">
      <c r="A1" s="336" t="s">
        <v>221</v>
      </c>
      <c r="B1" s="297"/>
      <c r="C1" s="297"/>
      <c r="D1" s="297"/>
      <c r="E1" s="297"/>
      <c r="F1" s="297"/>
      <c r="G1" s="297"/>
      <c r="H1" s="297"/>
      <c r="I1" s="297"/>
    </row>
    <row r="2" spans="1:9" ht="13.8" x14ac:dyDescent="0.3">
      <c r="A2" s="337" t="s">
        <v>222</v>
      </c>
      <c r="B2" s="297"/>
      <c r="C2" s="297"/>
      <c r="D2" s="297"/>
      <c r="E2" s="297"/>
      <c r="F2" s="297"/>
      <c r="G2" s="297"/>
      <c r="H2" s="297"/>
      <c r="I2" s="297"/>
    </row>
    <row r="3" spans="1:9" ht="9.75" customHeight="1" x14ac:dyDescent="0.25">
      <c r="A3" s="125"/>
      <c r="B3" s="126"/>
      <c r="C3" s="126"/>
      <c r="D3" s="126"/>
      <c r="E3" s="126"/>
      <c r="F3" s="126"/>
      <c r="G3" s="126"/>
      <c r="H3" s="127"/>
      <c r="I3" s="127"/>
    </row>
    <row r="4" spans="1:9" ht="15" x14ac:dyDescent="0.35">
      <c r="A4" s="128" t="s">
        <v>223</v>
      </c>
      <c r="B4" s="129" t="s">
        <v>224</v>
      </c>
      <c r="C4" s="129" t="s">
        <v>225</v>
      </c>
      <c r="D4" s="129" t="s">
        <v>226</v>
      </c>
      <c r="E4" s="130" t="s">
        <v>227</v>
      </c>
      <c r="F4" s="130" t="s">
        <v>228</v>
      </c>
      <c r="G4" s="131"/>
      <c r="H4" s="329" t="s">
        <v>163</v>
      </c>
      <c r="I4" s="330"/>
    </row>
    <row r="5" spans="1:9" ht="26.4" x14ac:dyDescent="0.25">
      <c r="A5" s="6" t="s">
        <v>229</v>
      </c>
      <c r="B5" s="6" t="s">
        <v>230</v>
      </c>
      <c r="D5" s="6" t="s">
        <v>231</v>
      </c>
      <c r="E5" s="132" t="b">
        <v>0</v>
      </c>
      <c r="F5" s="132" t="b">
        <v>0</v>
      </c>
      <c r="G5" s="131"/>
      <c r="H5" s="75" t="b">
        <v>0</v>
      </c>
      <c r="I5" s="133" t="s">
        <v>232</v>
      </c>
    </row>
    <row r="6" spans="1:9" ht="66" x14ac:dyDescent="0.25">
      <c r="A6" s="6" t="s">
        <v>233</v>
      </c>
      <c r="B6" s="6" t="s">
        <v>234</v>
      </c>
      <c r="D6" s="6" t="s">
        <v>235</v>
      </c>
      <c r="E6" s="132" t="b">
        <v>0</v>
      </c>
      <c r="F6" s="132" t="b">
        <v>0</v>
      </c>
      <c r="G6" s="131"/>
      <c r="H6" s="77" t="b">
        <v>0</v>
      </c>
      <c r="I6" s="134" t="s">
        <v>236</v>
      </c>
    </row>
    <row r="7" spans="1:9" ht="26.4" x14ac:dyDescent="0.25">
      <c r="A7" s="32" t="s">
        <v>237</v>
      </c>
      <c r="B7" s="6" t="s">
        <v>238</v>
      </c>
      <c r="D7" s="6"/>
      <c r="E7" s="132" t="b">
        <v>0</v>
      </c>
      <c r="F7" s="132" t="b">
        <v>0</v>
      </c>
      <c r="G7" s="131"/>
      <c r="H7" s="77" t="b">
        <v>0</v>
      </c>
      <c r="I7" s="134" t="s">
        <v>239</v>
      </c>
    </row>
    <row r="8" spans="1:9" ht="13.2" x14ac:dyDescent="0.25">
      <c r="A8" s="32" t="s">
        <v>240</v>
      </c>
      <c r="B8" s="6" t="s">
        <v>241</v>
      </c>
      <c r="D8" s="6"/>
      <c r="E8" s="132" t="b">
        <v>0</v>
      </c>
      <c r="F8" s="132" t="b">
        <v>0</v>
      </c>
      <c r="G8" s="131"/>
      <c r="H8" s="77" t="b">
        <v>0</v>
      </c>
      <c r="I8" s="134" t="s">
        <v>242</v>
      </c>
    </row>
    <row r="9" spans="1:9" ht="118.8" x14ac:dyDescent="0.25">
      <c r="A9" s="32" t="s">
        <v>243</v>
      </c>
      <c r="B9" s="6" t="s">
        <v>244</v>
      </c>
      <c r="D9" s="6" t="s">
        <v>245</v>
      </c>
      <c r="E9" s="132" t="b">
        <v>0</v>
      </c>
      <c r="F9" s="132" t="b">
        <v>0</v>
      </c>
      <c r="G9" s="131"/>
      <c r="H9" s="77" t="b">
        <v>0</v>
      </c>
      <c r="I9" s="134" t="s">
        <v>246</v>
      </c>
    </row>
    <row r="10" spans="1:9" ht="39.6" x14ac:dyDescent="0.25">
      <c r="A10" s="32" t="s">
        <v>247</v>
      </c>
      <c r="B10" s="6" t="s">
        <v>248</v>
      </c>
      <c r="D10" s="6" t="s">
        <v>249</v>
      </c>
      <c r="E10" s="132" t="b">
        <v>0</v>
      </c>
      <c r="F10" s="132" t="b">
        <v>0</v>
      </c>
      <c r="G10" s="131"/>
      <c r="H10" s="135" t="b">
        <v>0</v>
      </c>
      <c r="I10" s="136" t="s">
        <v>250</v>
      </c>
    </row>
    <row r="11" spans="1:9" ht="39.6" x14ac:dyDescent="0.25">
      <c r="A11" s="32" t="s">
        <v>247</v>
      </c>
      <c r="B11" s="6" t="s">
        <v>251</v>
      </c>
      <c r="D11" s="6" t="s">
        <v>249</v>
      </c>
      <c r="E11" s="132" t="b">
        <v>0</v>
      </c>
      <c r="F11" s="132" t="b">
        <v>0</v>
      </c>
      <c r="G11" s="131"/>
      <c r="H11" s="137"/>
      <c r="I11" s="138"/>
    </row>
    <row r="12" spans="1:9" ht="40.799999999999997" x14ac:dyDescent="0.35">
      <c r="A12" s="32" t="s">
        <v>247</v>
      </c>
      <c r="B12" s="6" t="s">
        <v>252</v>
      </c>
      <c r="D12" s="6" t="s">
        <v>249</v>
      </c>
      <c r="E12" s="132" t="b">
        <v>0</v>
      </c>
      <c r="F12" s="132" t="b">
        <v>0</v>
      </c>
      <c r="G12" s="131"/>
      <c r="H12" s="329" t="s">
        <v>253</v>
      </c>
      <c r="I12" s="330"/>
    </row>
    <row r="13" spans="1:9" ht="39.6" x14ac:dyDescent="0.25">
      <c r="A13" s="32" t="s">
        <v>247</v>
      </c>
      <c r="B13" s="6" t="s">
        <v>254</v>
      </c>
      <c r="D13" s="6" t="s">
        <v>249</v>
      </c>
      <c r="E13" s="132" t="b">
        <v>0</v>
      </c>
      <c r="F13" s="132" t="b">
        <v>0</v>
      </c>
      <c r="G13" s="131"/>
      <c r="H13" s="338" t="s">
        <v>255</v>
      </c>
      <c r="I13" s="319"/>
    </row>
    <row r="14" spans="1:9" ht="39.6" x14ac:dyDescent="0.25">
      <c r="A14" s="32" t="s">
        <v>247</v>
      </c>
      <c r="B14" s="6" t="s">
        <v>256</v>
      </c>
      <c r="D14" s="6" t="s">
        <v>257</v>
      </c>
      <c r="E14" s="132" t="b">
        <v>0</v>
      </c>
      <c r="F14" s="132" t="b">
        <v>0</v>
      </c>
      <c r="G14" s="131"/>
      <c r="H14" s="339" t="s">
        <v>258</v>
      </c>
      <c r="I14" s="335"/>
    </row>
    <row r="15" spans="1:9" ht="39.6" x14ac:dyDescent="0.25">
      <c r="A15" s="32" t="s">
        <v>247</v>
      </c>
      <c r="B15" s="6" t="s">
        <v>256</v>
      </c>
      <c r="D15" s="6" t="s">
        <v>257</v>
      </c>
      <c r="E15" s="132" t="b">
        <v>0</v>
      </c>
      <c r="F15" s="132" t="b">
        <v>0</v>
      </c>
      <c r="G15" s="131"/>
      <c r="H15" s="340"/>
      <c r="I15" s="306"/>
    </row>
    <row r="16" spans="1:9" ht="39.6" x14ac:dyDescent="0.25">
      <c r="A16" s="32" t="s">
        <v>247</v>
      </c>
      <c r="B16" s="6" t="s">
        <v>256</v>
      </c>
      <c r="D16" s="6" t="s">
        <v>257</v>
      </c>
      <c r="E16" s="132" t="b">
        <v>0</v>
      </c>
      <c r="F16" s="132" t="b">
        <v>0</v>
      </c>
      <c r="G16" s="131"/>
      <c r="H16" s="139"/>
      <c r="I16" s="139"/>
    </row>
    <row r="17" spans="1:9" ht="39.6" x14ac:dyDescent="0.25">
      <c r="A17" s="32" t="s">
        <v>247</v>
      </c>
      <c r="B17" s="6" t="s">
        <v>256</v>
      </c>
      <c r="D17" s="6" t="s">
        <v>257</v>
      </c>
      <c r="E17" s="132" t="b">
        <v>0</v>
      </c>
      <c r="F17" s="132" t="b">
        <v>0</v>
      </c>
      <c r="G17" s="131"/>
      <c r="H17" s="125"/>
      <c r="I17" s="125"/>
    </row>
    <row r="18" spans="1:9" ht="39.6" x14ac:dyDescent="0.25">
      <c r="A18" s="32" t="s">
        <v>259</v>
      </c>
      <c r="B18" s="6" t="s">
        <v>260</v>
      </c>
      <c r="D18" s="6" t="s">
        <v>261</v>
      </c>
      <c r="E18" s="132" t="b">
        <v>0</v>
      </c>
      <c r="F18" s="132" t="b">
        <v>0</v>
      </c>
      <c r="G18" s="131"/>
      <c r="H18" s="125"/>
      <c r="I18" s="125"/>
    </row>
    <row r="19" spans="1:9" ht="66" x14ac:dyDescent="0.25">
      <c r="A19" s="6" t="s">
        <v>46</v>
      </c>
      <c r="B19" s="6" t="s">
        <v>262</v>
      </c>
      <c r="C19" s="6"/>
      <c r="D19" s="6" t="s">
        <v>263</v>
      </c>
      <c r="E19" s="132" t="b">
        <v>0</v>
      </c>
      <c r="F19" s="132" t="b">
        <v>0</v>
      </c>
      <c r="G19" s="131"/>
      <c r="H19" s="125"/>
      <c r="I19" s="125"/>
    </row>
    <row r="20" spans="1:9" ht="26.4" x14ac:dyDescent="0.25">
      <c r="A20" s="6" t="s">
        <v>46</v>
      </c>
      <c r="B20" s="6" t="s">
        <v>264</v>
      </c>
      <c r="D20" s="6" t="s">
        <v>265</v>
      </c>
      <c r="E20" s="132" t="b">
        <v>0</v>
      </c>
      <c r="F20" s="132" t="b">
        <v>0</v>
      </c>
      <c r="G20" s="131"/>
      <c r="H20" s="125"/>
      <c r="I20" s="125"/>
    </row>
    <row r="21" spans="1:9" ht="26.4" x14ac:dyDescent="0.25">
      <c r="A21" s="6" t="s">
        <v>46</v>
      </c>
      <c r="B21" s="6" t="s">
        <v>266</v>
      </c>
      <c r="D21" s="6"/>
      <c r="E21" s="132" t="b">
        <v>0</v>
      </c>
      <c r="F21" s="132" t="b">
        <v>0</v>
      </c>
      <c r="H21" s="125"/>
      <c r="I21" s="125"/>
    </row>
    <row r="22" spans="1:9" ht="26.4" x14ac:dyDescent="0.25">
      <c r="A22" s="6" t="s">
        <v>46</v>
      </c>
      <c r="B22" s="6" t="s">
        <v>267</v>
      </c>
      <c r="D22" s="6" t="s">
        <v>268</v>
      </c>
      <c r="E22" s="132" t="b">
        <v>0</v>
      </c>
      <c r="F22" s="132" t="b">
        <v>0</v>
      </c>
      <c r="H22" s="125"/>
      <c r="I22" s="125"/>
    </row>
    <row r="23" spans="1:9" ht="13.2" x14ac:dyDescent="0.25">
      <c r="A23" s="6" t="s">
        <v>46</v>
      </c>
      <c r="B23" s="6" t="s">
        <v>269</v>
      </c>
      <c r="D23" s="6"/>
      <c r="E23" s="132" t="b">
        <v>0</v>
      </c>
      <c r="F23" s="132" t="b">
        <v>0</v>
      </c>
      <c r="H23" s="125"/>
      <c r="I23" s="125"/>
    </row>
    <row r="24" spans="1:9" ht="26.4" x14ac:dyDescent="0.25">
      <c r="A24" s="6" t="s">
        <v>270</v>
      </c>
      <c r="B24" s="6" t="s">
        <v>271</v>
      </c>
      <c r="D24" s="6" t="s">
        <v>272</v>
      </c>
      <c r="E24" s="132" t="b">
        <v>0</v>
      </c>
      <c r="F24" s="132" t="b">
        <v>0</v>
      </c>
      <c r="H24" s="125"/>
      <c r="I24" s="125"/>
    </row>
    <row r="25" spans="1:9" ht="26.4" x14ac:dyDescent="0.25">
      <c r="A25" s="32" t="s">
        <v>273</v>
      </c>
      <c r="B25" s="6" t="s">
        <v>274</v>
      </c>
      <c r="D25" s="6"/>
      <c r="E25" s="132" t="b">
        <v>0</v>
      </c>
      <c r="F25" s="132" t="b">
        <v>0</v>
      </c>
      <c r="G25" s="140"/>
      <c r="H25" s="125"/>
      <c r="I25" s="125"/>
    </row>
    <row r="26" spans="1:9" ht="26.4" x14ac:dyDescent="0.25">
      <c r="A26" s="32" t="s">
        <v>275</v>
      </c>
      <c r="B26" s="6" t="s">
        <v>276</v>
      </c>
      <c r="D26" s="6"/>
      <c r="E26" s="132" t="b">
        <v>0</v>
      </c>
      <c r="F26" s="132" t="b">
        <v>0</v>
      </c>
      <c r="H26" s="125"/>
      <c r="I26" s="125"/>
    </row>
    <row r="27" spans="1:9" ht="26.4" x14ac:dyDescent="0.25">
      <c r="A27" s="32" t="s">
        <v>277</v>
      </c>
      <c r="B27" s="6" t="s">
        <v>278</v>
      </c>
      <c r="D27" s="6"/>
      <c r="E27" s="132" t="b">
        <v>0</v>
      </c>
      <c r="F27" s="132" t="b">
        <v>0</v>
      </c>
      <c r="H27" s="125"/>
      <c r="I27" s="125"/>
    </row>
    <row r="28" spans="1:9" ht="13.2" x14ac:dyDescent="0.25">
      <c r="A28" s="32" t="s">
        <v>279</v>
      </c>
      <c r="B28" s="6" t="s">
        <v>280</v>
      </c>
      <c r="D28" s="6"/>
      <c r="E28" s="132" t="b">
        <v>0</v>
      </c>
      <c r="F28" s="132" t="b">
        <v>0</v>
      </c>
      <c r="H28" s="125"/>
      <c r="I28" s="125"/>
    </row>
    <row r="29" spans="1:9" ht="52.8" x14ac:dyDescent="0.25">
      <c r="A29" s="32" t="s">
        <v>281</v>
      </c>
      <c r="B29" s="6" t="s">
        <v>282</v>
      </c>
      <c r="D29" s="141" t="s">
        <v>283</v>
      </c>
      <c r="E29" s="132" t="b">
        <v>0</v>
      </c>
      <c r="F29" s="132" t="b">
        <v>0</v>
      </c>
      <c r="H29" s="125"/>
      <c r="I29" s="125"/>
    </row>
    <row r="30" spans="1:9" ht="39.6" x14ac:dyDescent="0.25">
      <c r="A30" s="32" t="s">
        <v>281</v>
      </c>
      <c r="B30" s="6" t="s">
        <v>284</v>
      </c>
      <c r="D30" s="6"/>
      <c r="E30" s="132" t="b">
        <v>0</v>
      </c>
      <c r="F30" s="132" t="b">
        <v>0</v>
      </c>
      <c r="H30" s="125"/>
      <c r="I30" s="125"/>
    </row>
    <row r="31" spans="1:9" ht="79.2" x14ac:dyDescent="0.25">
      <c r="A31" s="6" t="s">
        <v>285</v>
      </c>
      <c r="B31" s="6" t="s">
        <v>286</v>
      </c>
      <c r="D31" s="6" t="s">
        <v>287</v>
      </c>
      <c r="E31" s="132" t="b">
        <v>0</v>
      </c>
      <c r="F31" s="132" t="b">
        <v>0</v>
      </c>
      <c r="H31" s="125"/>
      <c r="I31" s="125"/>
    </row>
  </sheetData>
  <autoFilter ref="A4:F31" xr:uid="{00000000-0009-0000-0000-000004000000}">
    <sortState xmlns:xlrd2="http://schemas.microsoft.com/office/spreadsheetml/2017/richdata2" ref="A4:F31">
      <sortCondition ref="A4:A31"/>
    </sortState>
  </autoFilter>
  <mergeCells count="7">
    <mergeCell ref="H14:I14"/>
    <mergeCell ref="H15:I15"/>
    <mergeCell ref="A1:I1"/>
    <mergeCell ref="A2:I2"/>
    <mergeCell ref="H4:I4"/>
    <mergeCell ref="H12:I12"/>
    <mergeCell ref="H13:I13"/>
  </mergeCells>
  <hyperlinks>
    <hyperlink ref="H13" r:id="rId1"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I67"/>
  <sheetViews>
    <sheetView tabSelected="1" workbookViewId="0">
      <pane ySplit="4" topLeftCell="A5" activePane="bottomLeft" state="frozen"/>
      <selection pane="bottomLeft" activeCell="B6" sqref="B6"/>
    </sheetView>
  </sheetViews>
  <sheetFormatPr defaultColWidth="12.6640625" defaultRowHeight="15.75" customHeight="1" x14ac:dyDescent="0.25"/>
  <cols>
    <col min="1" max="1" width="67.77734375" customWidth="1"/>
    <col min="2" max="2" width="28.44140625" customWidth="1"/>
    <col min="3" max="3" width="16.77734375" customWidth="1"/>
    <col min="4" max="4" width="58.77734375" customWidth="1"/>
    <col min="5" max="6" width="16.77734375" customWidth="1"/>
    <col min="7" max="7" width="4.44140625" customWidth="1"/>
    <col min="9" max="9" width="19" customWidth="1"/>
  </cols>
  <sheetData>
    <row r="1" spans="1:9" ht="14.4" x14ac:dyDescent="0.35">
      <c r="A1" s="336" t="s">
        <v>288</v>
      </c>
      <c r="B1" s="297"/>
      <c r="C1" s="297"/>
      <c r="D1" s="297"/>
      <c r="E1" s="297"/>
      <c r="F1" s="297"/>
      <c r="G1" s="297"/>
      <c r="H1" s="297"/>
      <c r="I1" s="297"/>
    </row>
    <row r="2" spans="1:9" ht="32.25" customHeight="1" x14ac:dyDescent="0.3">
      <c r="A2" s="337" t="s">
        <v>289</v>
      </c>
      <c r="B2" s="297"/>
      <c r="C2" s="297"/>
      <c r="D2" s="297"/>
      <c r="E2" s="297"/>
      <c r="F2" s="297"/>
      <c r="G2" s="297"/>
      <c r="H2" s="297"/>
      <c r="I2" s="297"/>
    </row>
    <row r="3" spans="1:9" ht="9.75" customHeight="1" x14ac:dyDescent="0.25">
      <c r="A3" s="126"/>
      <c r="B3" s="126"/>
      <c r="C3" s="126"/>
      <c r="D3" s="126"/>
      <c r="E3" s="126"/>
      <c r="F3" s="142"/>
      <c r="G3" s="131"/>
      <c r="H3" s="126"/>
      <c r="I3" s="125"/>
    </row>
    <row r="4" spans="1:9" ht="14.4" x14ac:dyDescent="0.35">
      <c r="A4" s="143" t="s">
        <v>290</v>
      </c>
      <c r="B4" s="143" t="s">
        <v>223</v>
      </c>
      <c r="C4" s="143" t="s">
        <v>291</v>
      </c>
      <c r="D4" s="143" t="s">
        <v>226</v>
      </c>
      <c r="E4" s="143" t="s">
        <v>292</v>
      </c>
      <c r="F4" s="143" t="s">
        <v>253</v>
      </c>
      <c r="G4" s="131"/>
      <c r="H4" s="329" t="s">
        <v>163</v>
      </c>
      <c r="I4" s="330"/>
    </row>
    <row r="5" spans="1:9" ht="39.6" x14ac:dyDescent="0.25">
      <c r="A5" s="6" t="s">
        <v>293</v>
      </c>
      <c r="B5" s="6" t="s">
        <v>294</v>
      </c>
      <c r="C5" s="32"/>
      <c r="D5" s="6" t="s">
        <v>295</v>
      </c>
      <c r="E5" s="132"/>
      <c r="F5" s="132"/>
      <c r="G5" s="131"/>
      <c r="H5" s="75" t="b">
        <v>0</v>
      </c>
      <c r="I5" s="76" t="s">
        <v>296</v>
      </c>
    </row>
    <row r="6" spans="1:9" ht="52.8" x14ac:dyDescent="0.25">
      <c r="A6" s="6" t="s">
        <v>297</v>
      </c>
      <c r="B6" s="6" t="s">
        <v>294</v>
      </c>
      <c r="C6" s="32"/>
      <c r="D6" s="6" t="s">
        <v>298</v>
      </c>
      <c r="E6" s="132"/>
      <c r="F6" s="132"/>
      <c r="G6" s="131"/>
      <c r="H6" s="77" t="b">
        <v>0</v>
      </c>
      <c r="I6" s="78" t="s">
        <v>299</v>
      </c>
    </row>
    <row r="7" spans="1:9" ht="92.4" x14ac:dyDescent="0.25">
      <c r="A7" s="6" t="s">
        <v>300</v>
      </c>
      <c r="B7" s="6" t="s">
        <v>294</v>
      </c>
      <c r="C7" s="32"/>
      <c r="D7" s="6"/>
      <c r="E7" s="132"/>
      <c r="F7" s="132"/>
      <c r="G7" s="131"/>
      <c r="H7" s="77" t="b">
        <v>0</v>
      </c>
      <c r="I7" s="78" t="s">
        <v>301</v>
      </c>
    </row>
    <row r="8" spans="1:9" ht="39.6" x14ac:dyDescent="0.25">
      <c r="A8" s="6" t="s">
        <v>302</v>
      </c>
      <c r="B8" s="6" t="s">
        <v>294</v>
      </c>
      <c r="C8" s="32"/>
      <c r="D8" s="6"/>
      <c r="E8" s="132"/>
      <c r="F8" s="132"/>
      <c r="G8" s="131"/>
      <c r="H8" s="135" t="b">
        <v>0</v>
      </c>
      <c r="I8" s="144" t="s">
        <v>303</v>
      </c>
    </row>
    <row r="9" spans="1:9" ht="39.6" x14ac:dyDescent="0.25">
      <c r="A9" s="6" t="s">
        <v>304</v>
      </c>
      <c r="B9" s="6" t="s">
        <v>294</v>
      </c>
      <c r="C9" s="32"/>
      <c r="D9" s="6" t="s">
        <v>305</v>
      </c>
      <c r="E9" s="132"/>
      <c r="F9" s="132"/>
      <c r="G9" s="131"/>
      <c r="H9" s="135" t="b">
        <v>0</v>
      </c>
      <c r="I9" s="144" t="s">
        <v>306</v>
      </c>
    </row>
    <row r="10" spans="1:9" ht="39.6" x14ac:dyDescent="0.25">
      <c r="A10" s="6" t="s">
        <v>307</v>
      </c>
      <c r="B10" s="6" t="s">
        <v>308</v>
      </c>
      <c r="C10" s="32"/>
      <c r="D10" s="6" t="s">
        <v>309</v>
      </c>
      <c r="E10" s="132"/>
      <c r="F10" s="132"/>
      <c r="G10" s="131"/>
      <c r="H10" s="139"/>
      <c r="I10" s="139"/>
    </row>
    <row r="11" spans="1:9" ht="13.2" x14ac:dyDescent="0.25">
      <c r="A11" s="6" t="s">
        <v>310</v>
      </c>
      <c r="B11" s="32" t="s">
        <v>308</v>
      </c>
      <c r="C11" s="132"/>
      <c r="D11" s="145" t="s">
        <v>311</v>
      </c>
      <c r="E11" s="132"/>
      <c r="F11" s="132"/>
      <c r="G11" s="131"/>
      <c r="H11" s="125"/>
      <c r="I11" s="125"/>
    </row>
    <row r="12" spans="1:9" ht="26.4" x14ac:dyDescent="0.25">
      <c r="A12" s="6" t="s">
        <v>312</v>
      </c>
      <c r="B12" s="32" t="s">
        <v>308</v>
      </c>
      <c r="C12" s="132"/>
      <c r="D12" s="145" t="s">
        <v>313</v>
      </c>
      <c r="E12" s="132"/>
      <c r="F12" s="132"/>
      <c r="G12" s="131"/>
      <c r="H12" s="125"/>
      <c r="I12" s="125"/>
    </row>
    <row r="13" spans="1:9" ht="13.2" x14ac:dyDescent="0.25">
      <c r="A13" s="6" t="s">
        <v>314</v>
      </c>
      <c r="B13" s="32" t="s">
        <v>308</v>
      </c>
      <c r="C13" s="132"/>
      <c r="D13" s="145"/>
      <c r="E13" s="132"/>
      <c r="F13" s="132"/>
      <c r="G13" s="131"/>
      <c r="H13" s="125"/>
      <c r="I13" s="125"/>
    </row>
    <row r="14" spans="1:9" ht="13.2" x14ac:dyDescent="0.25">
      <c r="A14" s="6" t="s">
        <v>315</v>
      </c>
      <c r="B14" s="32" t="s">
        <v>308</v>
      </c>
      <c r="C14" s="132"/>
      <c r="D14" s="145"/>
      <c r="E14" s="132"/>
      <c r="F14" s="132"/>
      <c r="G14" s="131"/>
      <c r="H14" s="125"/>
      <c r="I14" s="125"/>
    </row>
    <row r="15" spans="1:9" ht="13.2" x14ac:dyDescent="0.25">
      <c r="A15" s="6" t="s">
        <v>316</v>
      </c>
      <c r="B15" s="32" t="s">
        <v>317</v>
      </c>
      <c r="C15" s="132"/>
      <c r="D15" s="145"/>
      <c r="E15" s="132"/>
      <c r="F15" s="132"/>
      <c r="G15" s="131"/>
      <c r="H15" s="125"/>
      <c r="I15" s="125"/>
    </row>
    <row r="16" spans="1:9" ht="52.8" x14ac:dyDescent="0.25">
      <c r="A16" s="6" t="s">
        <v>318</v>
      </c>
      <c r="B16" s="32" t="s">
        <v>317</v>
      </c>
      <c r="C16" s="132"/>
      <c r="D16" s="145" t="s">
        <v>319</v>
      </c>
      <c r="E16" s="132"/>
      <c r="F16" s="132"/>
      <c r="G16" s="131"/>
      <c r="H16" s="125"/>
      <c r="I16" s="125"/>
    </row>
    <row r="17" spans="1:9" ht="39.6" x14ac:dyDescent="0.25">
      <c r="A17" s="6" t="s">
        <v>320</v>
      </c>
      <c r="B17" s="32" t="s">
        <v>317</v>
      </c>
      <c r="C17" s="132"/>
      <c r="D17" s="145" t="s">
        <v>321</v>
      </c>
      <c r="E17" s="132"/>
      <c r="F17" s="132"/>
      <c r="G17" s="131"/>
      <c r="H17" s="125"/>
      <c r="I17" s="125"/>
    </row>
    <row r="18" spans="1:9" ht="13.2" x14ac:dyDescent="0.25">
      <c r="A18" s="6" t="s">
        <v>322</v>
      </c>
      <c r="B18" s="32" t="s">
        <v>317</v>
      </c>
      <c r="C18" s="132"/>
      <c r="D18" s="145" t="s">
        <v>323</v>
      </c>
      <c r="E18" s="132"/>
      <c r="F18" s="132"/>
      <c r="G18" s="131"/>
      <c r="H18" s="125"/>
      <c r="I18" s="125"/>
    </row>
    <row r="19" spans="1:9" ht="26.4" x14ac:dyDescent="0.25">
      <c r="A19" s="6" t="s">
        <v>324</v>
      </c>
      <c r="B19" s="32" t="s">
        <v>325</v>
      </c>
      <c r="C19" s="132"/>
      <c r="D19" s="145"/>
      <c r="E19" s="132"/>
      <c r="F19" s="132"/>
      <c r="G19" s="131"/>
      <c r="H19" s="125"/>
      <c r="I19" s="125"/>
    </row>
    <row r="20" spans="1:9" ht="13.2" x14ac:dyDescent="0.25">
      <c r="A20" s="6" t="s">
        <v>326</v>
      </c>
      <c r="B20" s="32" t="s">
        <v>325</v>
      </c>
      <c r="C20" s="132"/>
      <c r="D20" s="145"/>
      <c r="E20" s="132"/>
      <c r="F20" s="132"/>
      <c r="G20" s="131"/>
      <c r="H20" s="125"/>
      <c r="I20" s="125"/>
    </row>
    <row r="21" spans="1:9" ht="39.6" x14ac:dyDescent="0.25">
      <c r="A21" s="6" t="s">
        <v>327</v>
      </c>
      <c r="B21" s="32" t="s">
        <v>325</v>
      </c>
      <c r="C21" s="132"/>
      <c r="D21" s="145" t="s">
        <v>328</v>
      </c>
      <c r="E21" s="132"/>
      <c r="F21" s="132"/>
      <c r="G21" s="131"/>
      <c r="H21" s="125"/>
      <c r="I21" s="125"/>
    </row>
    <row r="22" spans="1:9" ht="13.2" x14ac:dyDescent="0.25">
      <c r="A22" s="6" t="s">
        <v>329</v>
      </c>
      <c r="B22" s="32" t="s">
        <v>325</v>
      </c>
      <c r="C22" s="132"/>
      <c r="D22" s="145"/>
      <c r="E22" s="132"/>
      <c r="F22" s="132"/>
      <c r="G22" s="131"/>
      <c r="H22" s="125"/>
      <c r="I22" s="125"/>
    </row>
    <row r="23" spans="1:9" ht="13.2" x14ac:dyDescent="0.25">
      <c r="A23" s="6" t="s">
        <v>330</v>
      </c>
      <c r="B23" s="32" t="s">
        <v>325</v>
      </c>
      <c r="C23" s="132"/>
      <c r="D23" s="145"/>
      <c r="E23" s="132"/>
      <c r="F23" s="132"/>
      <c r="G23" s="131"/>
      <c r="H23" s="125"/>
      <c r="I23" s="125"/>
    </row>
    <row r="24" spans="1:9" ht="13.2" x14ac:dyDescent="0.25">
      <c r="A24" s="6" t="s">
        <v>331</v>
      </c>
      <c r="B24" s="32" t="s">
        <v>325</v>
      </c>
      <c r="C24" s="132"/>
      <c r="D24" s="145" t="s">
        <v>332</v>
      </c>
      <c r="E24" s="132"/>
      <c r="F24" s="132"/>
      <c r="G24" s="131"/>
      <c r="H24" s="125"/>
      <c r="I24" s="125"/>
    </row>
    <row r="25" spans="1:9" ht="13.2" x14ac:dyDescent="0.25">
      <c r="A25" s="6" t="s">
        <v>333</v>
      </c>
      <c r="B25" s="32" t="s">
        <v>325</v>
      </c>
      <c r="C25" s="132"/>
      <c r="D25" s="145"/>
      <c r="E25" s="132"/>
      <c r="F25" s="132"/>
      <c r="G25" s="131"/>
      <c r="H25" s="125"/>
      <c r="I25" s="125"/>
    </row>
    <row r="26" spans="1:9" ht="26.4" x14ac:dyDescent="0.25">
      <c r="A26" s="6" t="s">
        <v>334</v>
      </c>
      <c r="B26" s="32" t="s">
        <v>325</v>
      </c>
      <c r="C26" s="132"/>
      <c r="D26" s="145"/>
      <c r="E26" s="132"/>
      <c r="F26" s="132"/>
      <c r="G26" s="131"/>
      <c r="H26" s="125"/>
      <c r="I26" s="125"/>
    </row>
    <row r="27" spans="1:9" ht="13.2" x14ac:dyDescent="0.25">
      <c r="A27" s="6" t="s">
        <v>335</v>
      </c>
      <c r="B27" s="32" t="s">
        <v>336</v>
      </c>
      <c r="C27" s="132"/>
      <c r="D27" s="145"/>
      <c r="E27" s="132"/>
      <c r="F27" s="132"/>
      <c r="G27" s="131"/>
      <c r="H27" s="125"/>
      <c r="I27" s="125"/>
    </row>
    <row r="28" spans="1:9" ht="13.2" x14ac:dyDescent="0.25">
      <c r="A28" s="6" t="s">
        <v>337</v>
      </c>
      <c r="B28" s="6" t="s">
        <v>294</v>
      </c>
      <c r="C28" s="32"/>
      <c r="D28" s="6" t="s">
        <v>338</v>
      </c>
      <c r="E28" s="132"/>
      <c r="F28" s="132"/>
      <c r="G28" s="131"/>
      <c r="H28" s="125"/>
      <c r="I28" s="125"/>
    </row>
    <row r="29" spans="1:9" ht="26.4" x14ac:dyDescent="0.25">
      <c r="A29" s="6" t="s">
        <v>339</v>
      </c>
      <c r="B29" s="6" t="s">
        <v>294</v>
      </c>
      <c r="C29" s="32"/>
      <c r="D29" s="6" t="s">
        <v>340</v>
      </c>
      <c r="E29" s="132"/>
      <c r="F29" s="132"/>
      <c r="G29" s="131"/>
      <c r="H29" s="125"/>
      <c r="I29" s="125"/>
    </row>
    <row r="30" spans="1:9" ht="26.4" x14ac:dyDescent="0.25">
      <c r="A30" s="6" t="s">
        <v>341</v>
      </c>
      <c r="B30" s="6" t="s">
        <v>294</v>
      </c>
      <c r="C30" s="32"/>
      <c r="D30" s="6" t="s">
        <v>342</v>
      </c>
      <c r="E30" s="132"/>
      <c r="F30" s="132"/>
      <c r="G30" s="131"/>
      <c r="H30" s="125"/>
      <c r="I30" s="125"/>
    </row>
    <row r="31" spans="1:9" ht="26.4" x14ac:dyDescent="0.25">
      <c r="A31" s="6" t="s">
        <v>343</v>
      </c>
      <c r="B31" s="6" t="s">
        <v>294</v>
      </c>
      <c r="C31" s="32"/>
      <c r="D31" s="6" t="s">
        <v>344</v>
      </c>
      <c r="E31" s="132"/>
      <c r="F31" s="132"/>
      <c r="G31" s="131"/>
      <c r="H31" s="125"/>
      <c r="I31" s="125"/>
    </row>
    <row r="32" spans="1:9" ht="39.6" x14ac:dyDescent="0.25">
      <c r="A32" s="6" t="s">
        <v>345</v>
      </c>
      <c r="B32" s="6" t="s">
        <v>294</v>
      </c>
      <c r="C32" s="32"/>
      <c r="D32" s="6" t="s">
        <v>346</v>
      </c>
      <c r="E32" s="132"/>
      <c r="F32" s="132"/>
      <c r="G32" s="131"/>
      <c r="H32" s="125"/>
      <c r="I32" s="125"/>
    </row>
    <row r="33" spans="1:9" ht="13.2" x14ac:dyDescent="0.25">
      <c r="A33" s="6" t="s">
        <v>347</v>
      </c>
      <c r="B33" s="6" t="s">
        <v>294</v>
      </c>
      <c r="C33" s="32"/>
      <c r="D33" s="6" t="s">
        <v>348</v>
      </c>
      <c r="E33" s="132"/>
      <c r="F33" s="132"/>
      <c r="G33" s="131"/>
      <c r="H33" s="125"/>
      <c r="I33" s="125"/>
    </row>
    <row r="34" spans="1:9" ht="13.2" x14ac:dyDescent="0.25">
      <c r="A34" s="6" t="s">
        <v>349</v>
      </c>
      <c r="B34" s="6" t="s">
        <v>294</v>
      </c>
      <c r="C34" s="32"/>
      <c r="D34" s="6"/>
      <c r="E34" s="132"/>
      <c r="F34" s="132"/>
      <c r="G34" s="131"/>
      <c r="H34" s="125"/>
      <c r="I34" s="125"/>
    </row>
    <row r="35" spans="1:9" ht="13.2" x14ac:dyDescent="0.25">
      <c r="A35" s="6" t="s">
        <v>350</v>
      </c>
      <c r="B35" s="6" t="s">
        <v>294</v>
      </c>
      <c r="C35" s="32"/>
      <c r="D35" s="6" t="s">
        <v>351</v>
      </c>
      <c r="E35" s="132"/>
      <c r="F35" s="132"/>
      <c r="G35" s="131"/>
      <c r="H35" s="125"/>
      <c r="I35" s="125"/>
    </row>
    <row r="36" spans="1:9" ht="13.2" x14ac:dyDescent="0.25">
      <c r="A36" s="6" t="s">
        <v>352</v>
      </c>
      <c r="B36" s="6" t="s">
        <v>294</v>
      </c>
      <c r="C36" s="32"/>
      <c r="D36" s="6" t="s">
        <v>353</v>
      </c>
      <c r="E36" s="132"/>
      <c r="F36" s="132"/>
      <c r="G36" s="131"/>
      <c r="H36" s="125"/>
      <c r="I36" s="125"/>
    </row>
    <row r="37" spans="1:9" ht="79.2" x14ac:dyDescent="0.25">
      <c r="A37" s="6" t="s">
        <v>354</v>
      </c>
      <c r="B37" s="6"/>
      <c r="C37" s="32"/>
      <c r="D37" s="6" t="s">
        <v>355</v>
      </c>
      <c r="E37" s="132"/>
      <c r="F37" s="132"/>
      <c r="G37" s="131"/>
      <c r="H37" s="125"/>
      <c r="I37" s="125"/>
    </row>
    <row r="38" spans="1:9" ht="26.4" x14ac:dyDescent="0.25">
      <c r="A38" s="6" t="s">
        <v>356</v>
      </c>
      <c r="B38" s="32" t="s">
        <v>357</v>
      </c>
      <c r="C38" s="132"/>
      <c r="D38" s="145" t="s">
        <v>358</v>
      </c>
      <c r="E38" s="132"/>
      <c r="F38" s="132"/>
      <c r="G38" s="131"/>
      <c r="H38" s="125"/>
      <c r="I38" s="125"/>
    </row>
    <row r="39" spans="1:9" ht="26.4" x14ac:dyDescent="0.25">
      <c r="A39" s="6" t="s">
        <v>359</v>
      </c>
      <c r="B39" s="32" t="s">
        <v>360</v>
      </c>
      <c r="C39" s="132"/>
      <c r="D39" s="145" t="s">
        <v>361</v>
      </c>
      <c r="E39" s="132"/>
      <c r="F39" s="132"/>
      <c r="G39" s="131"/>
      <c r="H39" s="125"/>
      <c r="I39" s="125"/>
    </row>
    <row r="40" spans="1:9" ht="13.2" x14ac:dyDescent="0.25">
      <c r="A40" s="6" t="s">
        <v>362</v>
      </c>
      <c r="B40" s="32" t="s">
        <v>308</v>
      </c>
      <c r="C40" s="132"/>
      <c r="D40" s="145" t="s">
        <v>363</v>
      </c>
      <c r="E40" s="132"/>
      <c r="F40" s="132"/>
      <c r="G40" s="131"/>
      <c r="H40" s="125"/>
      <c r="I40" s="125"/>
    </row>
    <row r="41" spans="1:9" ht="13.2" x14ac:dyDescent="0.25">
      <c r="A41" s="6" t="s">
        <v>364</v>
      </c>
      <c r="C41" s="132"/>
      <c r="D41" s="145"/>
      <c r="E41" s="132"/>
      <c r="F41" s="132"/>
      <c r="G41" s="131"/>
      <c r="H41" s="125"/>
      <c r="I41" s="125"/>
    </row>
    <row r="42" spans="1:9" ht="13.2" x14ac:dyDescent="0.25">
      <c r="A42" s="6" t="s">
        <v>365</v>
      </c>
      <c r="C42" s="132"/>
      <c r="D42" s="145"/>
      <c r="E42" s="132"/>
      <c r="F42" s="132"/>
      <c r="G42" s="131"/>
      <c r="H42" s="125"/>
      <c r="I42" s="125"/>
    </row>
    <row r="43" spans="1:9" ht="13.2" x14ac:dyDescent="0.25">
      <c r="A43" s="6" t="s">
        <v>366</v>
      </c>
      <c r="B43" s="32" t="s">
        <v>308</v>
      </c>
      <c r="C43" s="132"/>
      <c r="D43" s="145"/>
      <c r="E43" s="132"/>
      <c r="F43" s="132"/>
      <c r="G43" s="131"/>
      <c r="H43" s="125"/>
      <c r="I43" s="125"/>
    </row>
    <row r="44" spans="1:9" ht="39.6" x14ac:dyDescent="0.25">
      <c r="A44" s="6" t="s">
        <v>367</v>
      </c>
      <c r="B44" s="32" t="s">
        <v>308</v>
      </c>
      <c r="C44" s="132"/>
      <c r="D44" s="145" t="s">
        <v>368</v>
      </c>
      <c r="E44" s="132"/>
      <c r="F44" s="132"/>
      <c r="G44" s="131"/>
      <c r="H44" s="125"/>
      <c r="I44" s="125"/>
    </row>
    <row r="45" spans="1:9" ht="13.2" x14ac:dyDescent="0.25">
      <c r="A45" s="6" t="s">
        <v>369</v>
      </c>
      <c r="B45" s="32" t="s">
        <v>308</v>
      </c>
      <c r="C45" s="132"/>
      <c r="D45" s="145" t="s">
        <v>370</v>
      </c>
      <c r="E45" s="132"/>
      <c r="F45" s="132"/>
      <c r="G45" s="131"/>
      <c r="H45" s="125"/>
      <c r="I45" s="125"/>
    </row>
    <row r="46" spans="1:9" ht="13.2" x14ac:dyDescent="0.25">
      <c r="A46" s="6" t="s">
        <v>371</v>
      </c>
      <c r="B46" s="32" t="s">
        <v>308</v>
      </c>
      <c r="C46" s="132"/>
      <c r="D46" s="145"/>
      <c r="E46" s="132"/>
      <c r="F46" s="132"/>
      <c r="G46" s="131"/>
      <c r="H46" s="125"/>
      <c r="I46" s="125"/>
    </row>
    <row r="47" spans="1:9" ht="13.2" x14ac:dyDescent="0.25">
      <c r="A47" s="6" t="s">
        <v>372</v>
      </c>
      <c r="B47" s="32" t="s">
        <v>373</v>
      </c>
      <c r="C47" s="132"/>
      <c r="D47" s="145" t="s">
        <v>374</v>
      </c>
      <c r="E47" s="132"/>
      <c r="F47" s="132"/>
      <c r="G47" s="131"/>
      <c r="H47" s="125"/>
      <c r="I47" s="125"/>
    </row>
    <row r="48" spans="1:9" ht="13.2" x14ac:dyDescent="0.25">
      <c r="A48" s="6" t="s">
        <v>375</v>
      </c>
      <c r="B48" s="32" t="s">
        <v>373</v>
      </c>
      <c r="C48" s="132"/>
      <c r="D48" s="145"/>
      <c r="E48" s="132"/>
      <c r="F48" s="132"/>
      <c r="G48" s="131"/>
      <c r="H48" s="125"/>
      <c r="I48" s="125"/>
    </row>
    <row r="49" spans="1:9" ht="39.6" x14ac:dyDescent="0.25">
      <c r="A49" s="6" t="s">
        <v>376</v>
      </c>
      <c r="B49" s="32" t="s">
        <v>373</v>
      </c>
      <c r="C49" s="132"/>
      <c r="D49" s="6" t="s">
        <v>377</v>
      </c>
      <c r="E49" s="132"/>
      <c r="F49" s="132"/>
      <c r="G49" s="131"/>
      <c r="H49" s="125"/>
      <c r="I49" s="125"/>
    </row>
    <row r="50" spans="1:9" ht="13.2" x14ac:dyDescent="0.25">
      <c r="A50" s="6" t="s">
        <v>378</v>
      </c>
      <c r="B50" s="32" t="s">
        <v>373</v>
      </c>
      <c r="C50" s="132"/>
      <c r="D50" s="6"/>
      <c r="E50" s="132"/>
      <c r="F50" s="132"/>
      <c r="G50" s="131"/>
      <c r="H50" s="125"/>
      <c r="I50" s="125"/>
    </row>
    <row r="51" spans="1:9" ht="13.2" x14ac:dyDescent="0.25">
      <c r="A51" s="6" t="s">
        <v>379</v>
      </c>
      <c r="B51" s="32" t="s">
        <v>373</v>
      </c>
      <c r="C51" s="132"/>
      <c r="D51" s="6"/>
      <c r="E51" s="132"/>
      <c r="F51" s="132"/>
      <c r="G51" s="131"/>
      <c r="H51" s="125"/>
      <c r="I51" s="125"/>
    </row>
    <row r="52" spans="1:9" ht="26.4" x14ac:dyDescent="0.25">
      <c r="A52" s="6" t="s">
        <v>380</v>
      </c>
      <c r="B52" s="32" t="s">
        <v>373</v>
      </c>
      <c r="C52" s="132"/>
      <c r="D52" s="6" t="s">
        <v>381</v>
      </c>
      <c r="E52" s="132"/>
      <c r="F52" s="132"/>
      <c r="G52" s="131"/>
      <c r="H52" s="125"/>
      <c r="I52" s="125"/>
    </row>
    <row r="53" spans="1:9" ht="26.4" x14ac:dyDescent="0.25">
      <c r="A53" s="6" t="s">
        <v>382</v>
      </c>
      <c r="B53" s="32" t="s">
        <v>373</v>
      </c>
      <c r="C53" s="132"/>
      <c r="D53" s="6" t="s">
        <v>383</v>
      </c>
      <c r="E53" s="132"/>
      <c r="F53" s="132"/>
      <c r="G53" s="131"/>
      <c r="H53" s="125"/>
      <c r="I53" s="125"/>
    </row>
    <row r="54" spans="1:9" ht="26.4" x14ac:dyDescent="0.25">
      <c r="A54" s="6" t="s">
        <v>384</v>
      </c>
      <c r="B54" s="32" t="s">
        <v>373</v>
      </c>
      <c r="C54" s="132"/>
      <c r="D54" s="6"/>
      <c r="E54" s="132"/>
      <c r="F54" s="132"/>
      <c r="G54" s="131"/>
      <c r="H54" s="125"/>
      <c r="I54" s="125"/>
    </row>
    <row r="55" spans="1:9" ht="39.6" x14ac:dyDescent="0.25">
      <c r="A55" s="6" t="s">
        <v>385</v>
      </c>
      <c r="B55" s="32" t="s">
        <v>317</v>
      </c>
      <c r="C55" s="132"/>
      <c r="D55" s="6" t="s">
        <v>386</v>
      </c>
      <c r="E55" s="132"/>
      <c r="F55" s="132"/>
      <c r="G55" s="131"/>
      <c r="H55" s="125"/>
      <c r="I55" s="125"/>
    </row>
    <row r="56" spans="1:9" ht="13.2" x14ac:dyDescent="0.25">
      <c r="A56" s="6" t="s">
        <v>387</v>
      </c>
      <c r="B56" s="32" t="s">
        <v>317</v>
      </c>
      <c r="C56" s="132"/>
      <c r="D56" s="6" t="s">
        <v>374</v>
      </c>
      <c r="E56" s="132"/>
      <c r="F56" s="132"/>
      <c r="G56" s="131"/>
      <c r="H56" s="125"/>
      <c r="I56" s="125"/>
    </row>
    <row r="57" spans="1:9" ht="13.2" x14ac:dyDescent="0.25">
      <c r="A57" s="6" t="s">
        <v>388</v>
      </c>
      <c r="B57" s="32" t="s">
        <v>317</v>
      </c>
      <c r="C57" s="132"/>
      <c r="D57" s="6" t="s">
        <v>374</v>
      </c>
      <c r="E57" s="132"/>
      <c r="F57" s="132"/>
      <c r="G57" s="131"/>
      <c r="H57" s="125"/>
      <c r="I57" s="125"/>
    </row>
    <row r="58" spans="1:9" ht="26.4" x14ac:dyDescent="0.25">
      <c r="A58" s="6" t="s">
        <v>389</v>
      </c>
      <c r="B58" s="32" t="s">
        <v>294</v>
      </c>
      <c r="C58" s="132"/>
      <c r="D58" s="6" t="s">
        <v>390</v>
      </c>
      <c r="E58" s="132"/>
      <c r="F58" s="132"/>
      <c r="G58" s="131"/>
      <c r="H58" s="125"/>
      <c r="I58" s="125"/>
    </row>
    <row r="59" spans="1:9" ht="13.2" x14ac:dyDescent="0.25">
      <c r="A59" s="6" t="s">
        <v>391</v>
      </c>
      <c r="B59" s="32" t="s">
        <v>325</v>
      </c>
      <c r="C59" s="132"/>
      <c r="D59" s="6" t="s">
        <v>392</v>
      </c>
      <c r="E59" s="132"/>
      <c r="F59" s="132"/>
      <c r="G59" s="131"/>
      <c r="H59" s="125"/>
      <c r="I59" s="125"/>
    </row>
    <row r="60" spans="1:9" ht="26.4" x14ac:dyDescent="0.25">
      <c r="A60" s="6" t="s">
        <v>393</v>
      </c>
      <c r="B60" s="32" t="s">
        <v>325</v>
      </c>
      <c r="C60" s="132"/>
      <c r="D60" s="6" t="s">
        <v>394</v>
      </c>
      <c r="E60" s="132"/>
      <c r="F60" s="132"/>
      <c r="G60" s="131"/>
      <c r="H60" s="125"/>
      <c r="I60" s="125"/>
    </row>
    <row r="61" spans="1:9" ht="26.4" x14ac:dyDescent="0.25">
      <c r="A61" s="6" t="s">
        <v>395</v>
      </c>
      <c r="B61" s="32" t="s">
        <v>325</v>
      </c>
      <c r="C61" s="132"/>
      <c r="D61" s="6" t="s">
        <v>396</v>
      </c>
      <c r="E61" s="132"/>
      <c r="F61" s="132"/>
      <c r="G61" s="131"/>
      <c r="H61" s="125"/>
      <c r="I61" s="125"/>
    </row>
    <row r="62" spans="1:9" ht="52.8" x14ac:dyDescent="0.25">
      <c r="A62" s="6" t="s">
        <v>397</v>
      </c>
      <c r="B62" s="32" t="s">
        <v>336</v>
      </c>
      <c r="C62" s="132"/>
      <c r="D62" s="6" t="s">
        <v>398</v>
      </c>
      <c r="E62" s="132"/>
      <c r="F62" s="132"/>
      <c r="G62" s="131"/>
      <c r="H62" s="125"/>
      <c r="I62" s="125"/>
    </row>
    <row r="63" spans="1:9" ht="13.2" x14ac:dyDescent="0.25">
      <c r="A63" s="6" t="s">
        <v>399</v>
      </c>
      <c r="B63" s="32" t="s">
        <v>336</v>
      </c>
      <c r="C63" s="132"/>
      <c r="D63" s="6"/>
      <c r="E63" s="132"/>
      <c r="F63" s="132"/>
      <c r="G63" s="131"/>
      <c r="H63" s="125"/>
      <c r="I63" s="125"/>
    </row>
    <row r="64" spans="1:9" ht="13.2" x14ac:dyDescent="0.25">
      <c r="A64" s="6" t="s">
        <v>400</v>
      </c>
      <c r="B64" s="32" t="s">
        <v>336</v>
      </c>
      <c r="C64" s="132"/>
      <c r="D64" s="6" t="s">
        <v>401</v>
      </c>
      <c r="E64" s="132"/>
      <c r="F64" s="132"/>
      <c r="G64" s="131"/>
      <c r="H64" s="125"/>
      <c r="I64" s="125"/>
    </row>
    <row r="65" spans="1:9" ht="13.2" x14ac:dyDescent="0.25">
      <c r="A65" s="6" t="s">
        <v>402</v>
      </c>
      <c r="B65" s="32" t="s">
        <v>336</v>
      </c>
      <c r="C65" s="132"/>
      <c r="D65" s="6"/>
      <c r="E65" s="132"/>
      <c r="F65" s="132"/>
      <c r="G65" s="131"/>
      <c r="H65" s="125"/>
      <c r="I65" s="125"/>
    </row>
    <row r="66" spans="1:9" ht="13.2" x14ac:dyDescent="0.25">
      <c r="A66" s="6" t="s">
        <v>403</v>
      </c>
      <c r="B66" s="32" t="s">
        <v>336</v>
      </c>
      <c r="C66" s="132"/>
      <c r="D66" s="6" t="s">
        <v>404</v>
      </c>
      <c r="E66" s="132"/>
      <c r="F66" s="132"/>
      <c r="G66" s="131"/>
      <c r="H66" s="125"/>
      <c r="I66" s="125"/>
    </row>
    <row r="67" spans="1:9" ht="13.2" x14ac:dyDescent="0.25">
      <c r="A67" s="6" t="s">
        <v>405</v>
      </c>
      <c r="B67" s="32" t="s">
        <v>336</v>
      </c>
      <c r="C67" s="132"/>
      <c r="D67" s="6" t="s">
        <v>406</v>
      </c>
      <c r="E67" s="132"/>
      <c r="F67" s="132"/>
      <c r="G67" s="131"/>
      <c r="H67" s="125"/>
      <c r="I67" s="125"/>
    </row>
  </sheetData>
  <autoFilter ref="A4:E67" xr:uid="{00000000-0009-0000-0000-000005000000}">
    <sortState xmlns:xlrd2="http://schemas.microsoft.com/office/spreadsheetml/2017/richdata2" ref="A4:E67">
      <sortCondition descending="1" ref="C4:C67"/>
    </sortState>
  </autoFilter>
  <mergeCells count="3">
    <mergeCell ref="A1:I1"/>
    <mergeCell ref="A2:I2"/>
    <mergeCell ref="H4:I4"/>
  </mergeCells>
  <dataValidations count="2">
    <dataValidation type="list" allowBlank="1" showErrorMessage="1" sqref="C5:C67" xr:uid="{00000000-0002-0000-0500-000000000000}">
      <formula1>"Not Applicable,Required,Nice to Have"</formula1>
    </dataValidation>
    <dataValidation type="list" allowBlank="1" showErrorMessage="1" sqref="E5:E67" xr:uid="{00000000-0002-0000-0500-000001000000}">
      <formula1>"Not started,Received,Requested,Reviewed,Ask for clarification"</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H55"/>
  <sheetViews>
    <sheetView workbookViewId="0">
      <pane ySplit="4" topLeftCell="A5" activePane="bottomLeft" state="frozen"/>
      <selection pane="bottomLeft" activeCell="B6" sqref="B6"/>
    </sheetView>
  </sheetViews>
  <sheetFormatPr defaultColWidth="12.6640625" defaultRowHeight="15.75" customHeight="1" x14ac:dyDescent="0.25"/>
  <cols>
    <col min="1" max="1" width="16.21875" customWidth="1"/>
    <col min="2" max="2" width="42.21875" customWidth="1"/>
    <col min="3" max="3" width="52" customWidth="1"/>
    <col min="4" max="4" width="41.6640625" customWidth="1"/>
    <col min="5" max="5" width="12.109375" customWidth="1"/>
    <col min="6" max="6" width="3.109375" customWidth="1"/>
    <col min="7" max="7" width="18.21875" customWidth="1"/>
    <col min="8" max="8" width="19.6640625" customWidth="1"/>
  </cols>
  <sheetData>
    <row r="1" spans="1:8" ht="19.2" x14ac:dyDescent="0.35">
      <c r="A1" s="336" t="s">
        <v>407</v>
      </c>
      <c r="B1" s="297"/>
      <c r="C1" s="297"/>
      <c r="D1" s="297"/>
      <c r="E1" s="297"/>
      <c r="F1" s="146"/>
      <c r="G1" s="125"/>
      <c r="H1" s="125"/>
    </row>
    <row r="2" spans="1:8" ht="14.4" x14ac:dyDescent="0.3">
      <c r="A2" s="337" t="s">
        <v>408</v>
      </c>
      <c r="B2" s="297"/>
      <c r="C2" s="297"/>
      <c r="D2" s="297"/>
      <c r="E2" s="297"/>
      <c r="F2" s="147"/>
      <c r="G2" s="125"/>
      <c r="H2" s="125"/>
    </row>
    <row r="3" spans="1:8" ht="9.75" customHeight="1" x14ac:dyDescent="0.25">
      <c r="A3" s="125"/>
      <c r="B3" s="126"/>
      <c r="C3" s="126"/>
      <c r="D3" s="126"/>
      <c r="E3" s="125"/>
      <c r="F3" s="148"/>
      <c r="G3" s="125"/>
    </row>
    <row r="4" spans="1:8" ht="15" x14ac:dyDescent="0.35">
      <c r="A4" s="128" t="s">
        <v>223</v>
      </c>
      <c r="B4" s="129" t="s">
        <v>409</v>
      </c>
      <c r="C4" s="129" t="s">
        <v>225</v>
      </c>
      <c r="D4" s="129" t="s">
        <v>226</v>
      </c>
      <c r="E4" s="130" t="s">
        <v>410</v>
      </c>
      <c r="F4" s="149"/>
      <c r="G4" s="341" t="s">
        <v>411</v>
      </c>
      <c r="H4" s="319"/>
    </row>
    <row r="5" spans="1:8" ht="39.6" x14ac:dyDescent="0.25">
      <c r="A5" s="6" t="s">
        <v>412</v>
      </c>
      <c r="B5" s="6" t="s">
        <v>413</v>
      </c>
      <c r="C5" s="6"/>
      <c r="D5" s="6"/>
      <c r="E5" s="150"/>
      <c r="F5" s="151"/>
      <c r="G5" s="342" t="s">
        <v>414</v>
      </c>
      <c r="H5" s="319"/>
    </row>
    <row r="6" spans="1:8" ht="52.8" x14ac:dyDescent="0.25">
      <c r="A6" s="6" t="s">
        <v>412</v>
      </c>
      <c r="B6" s="6" t="s">
        <v>415</v>
      </c>
      <c r="C6" s="6"/>
      <c r="D6" s="6"/>
      <c r="E6" s="150"/>
      <c r="F6" s="151"/>
      <c r="G6" s="152" t="s">
        <v>412</v>
      </c>
      <c r="H6" s="153" t="e">
        <f ca="1">_xludf.IFS(COUNTIF(E5:E7, "Somewhat Risky") &gt; COUNTIF(E5:E7, "Looks Good") + COUNTIF(E5:E7, "Not Good"), "Somewhat Risky",
     COUNTIF(E5:E7, "Looks Good") &gt; COUNTIF(E5:E7, "Somewhat Risky") + COUNTIF(E5:E7, "Not Good"), "Looks Good",
     COUNTIF(E5:E7, "Not Good") &gt; COUNTIF(E5:E7, "Looks Good") + COUNTIF(E5:E7, "Somewhat Risky"), "Not Good",
     COUNTIF(E5:E7, "Looks Good") = COUNTIF(E5:E7, "Not Good"), "Somewhat Risky",
     COUNTIF(E5:E7, "Looks Good") = COUNTIF(E5:E7, "Somewhat Risky"), "Somewhat Risky",
     COUNTIF(E5:E7, "Not Good") = COUNTIF(E5:E7, "Somewhat Risky"), "Somewhat Risky",
     AND(COUNTIF(E5:E7, "Looks Good") = 0, COUNTIF(E5:E7, "Somewhat Risky") = 0, COUNTIF(E5:E7, "Not Good") = 0), "")</f>
        <v>#NAME?</v>
      </c>
    </row>
    <row r="7" spans="1:8" ht="26.4" x14ac:dyDescent="0.25">
      <c r="A7" s="6" t="s">
        <v>412</v>
      </c>
      <c r="B7" s="6" t="s">
        <v>416</v>
      </c>
      <c r="C7" s="6"/>
      <c r="D7" s="6"/>
      <c r="E7" s="150"/>
      <c r="F7" s="151"/>
      <c r="G7" s="154" t="s">
        <v>417</v>
      </c>
      <c r="H7" s="155" t="e">
        <f ca="1">_xludf.IFS(COUNTIF(E8:E13, "Somewhat Risky") &gt; COUNTIF(E8:E13, "Looks Good") + COUNTIF(E8:E13, "Not Good"), "Somewhat Risky",
     COUNTIF(E8:E13, "Looks Good") &gt; COUNTIF(E8:E13, "Somewhat Risky") + COUNTIF(E8:E13, "Not Good"), "Looks Good",
     COUNTIF(E8:E13, "Not Good") &gt; COUNTIF(E8:E13, "Looks Good") + COUNTIF(E8:E13, "Somewhat Risky"), "Not Good",
     COUNTIF(E8:E13, "Looks Good") = COUNTIF(E8:E13, "Not Good"), "Somewhat Risky",
     COUNTIF(E8:E13, "Looks Good") = COUNTIF(E8:E13, "Somewhat Risky"), "Somewhat Risky",
     COUNTIF(E8:E13, "Not Good") = COUNTIF(E8:E13, "Somewhat Risky"), "Somewhat Risky",
     AND(COUNTIF(E8:E13, "Looks Good") = 0, COUNTIF(E8:E13, "Somewhat Risky") = 0, COUNTIF(E8:E13, "Not Good") = 0), "")</f>
        <v>#NAME?</v>
      </c>
    </row>
    <row r="8" spans="1:8" ht="39.6" x14ac:dyDescent="0.25">
      <c r="A8" s="6" t="s">
        <v>417</v>
      </c>
      <c r="B8" s="6" t="s">
        <v>418</v>
      </c>
      <c r="C8" s="6"/>
      <c r="D8" s="6"/>
      <c r="E8" s="150"/>
      <c r="F8" s="151"/>
      <c r="G8" s="154" t="s">
        <v>419</v>
      </c>
      <c r="H8" s="155" t="e">
        <f ca="1">_xludf.IFS(COUNTIF(E14:E17, "Somewhat Risky") &gt; COUNTIF(E14:E17, "Looks Good") + COUNTIF(E14:E17, "Not Good"), "Somewhat Risky",
     COUNTIF(E14:E17, "Looks Good") &gt; COUNTIF(E14:E17, "Somewhat Risky") + COUNTIF(E14:E17, "Not Good"), "Looks Good",
     COUNTIF(E14:E17, "Not Good") &gt; COUNTIF(E14:E17, "Looks Good") + COUNTIF(E14:E17, "Somewhat Risky"), "Not Good",
     COUNTIF(E14:E17, "Looks Good") = COUNTIF(E14:E17, "Not Good"), "Somewhat Risky",
     COUNTIF(E14:E17, "Looks Good") = COUNTIF(E14:E17, "Somewhat Risky"), "Somewhat Risky",
     COUNTIF(E14:E17, "Not Good") = COUNTIF(E14:E17, "Somewhat Risky"), "Somewhat Risky",
     AND(COUNTIF(E14:E17, "Looks Good") = 0, COUNTIF(E14:E17, "Somewhat Risky") = 0, COUNTIF(E14:E17, "Not Good") = 0), "")</f>
        <v>#NAME?</v>
      </c>
    </row>
    <row r="9" spans="1:8" ht="26.4" x14ac:dyDescent="0.25">
      <c r="A9" s="6" t="s">
        <v>417</v>
      </c>
      <c r="B9" s="6" t="s">
        <v>420</v>
      </c>
      <c r="C9" s="6"/>
      <c r="D9" s="6"/>
      <c r="E9" s="150"/>
      <c r="F9" s="151"/>
      <c r="G9" s="154" t="s">
        <v>421</v>
      </c>
      <c r="H9" s="155" t="e">
        <f ca="1">_xludf.IFS(COUNTIF(E18:E22, "Somewhat Risky") &gt; COUNTIF(E18:E22, "Looks Good") + COUNTIF(E18:E22, "Not Good"), "Somewhat Risky",
     COUNTIF(E18:E22, "Looks Good") &gt; COUNTIF(E18:E22, "Somewhat Risky") + COUNTIF(E18:E22, "Not Good"), "Looks Good",
     COUNTIF(E18:E22, "Not Good") &gt; COUNTIF(E18:E22, "Looks Good") + COUNTIF(E18:E22, "Somewhat Risky"), "Not Good",
     COUNTIF(E18:E22, "Looks Good") = COUNTIF(E18:E22, "Not Good"), "Somewhat Risky",
     COUNTIF(E18:E22, "Looks Good") = COUNTIF(E18:E22, "Somewhat Risky"), "Somewhat Risky",
     COUNTIF(E18:E22, "Not Good") = COUNTIF(E18:E22, "Somewhat Risky"), "Somewhat Risky",
     AND(COUNTIF(E18:E22, "Looks Good") = 0, COUNTIF(E18:E22, "Somewhat Risky") = 0, COUNTIF(E18:E22, "Not Good") = 0), "")</f>
        <v>#NAME?</v>
      </c>
    </row>
    <row r="10" spans="1:8" ht="26.4" x14ac:dyDescent="0.25">
      <c r="A10" s="6" t="s">
        <v>417</v>
      </c>
      <c r="B10" s="6" t="s">
        <v>422</v>
      </c>
      <c r="C10" s="6"/>
      <c r="D10" s="6"/>
      <c r="E10" s="150"/>
      <c r="F10" s="151"/>
      <c r="G10" s="154" t="s">
        <v>423</v>
      </c>
      <c r="H10" s="155" t="e">
        <f ca="1">_xludf.IFS(COUNTIF(E23:E28, "Somewhat Risky") &gt; COUNTIF(E23:E28, "Looks Good") + COUNTIF(E23:E28, "Not Good"), "Somewhat Risky",
     COUNTIF(E23:E28, "Looks Good") &gt; COUNTIF(E23:E28, "Somewhat Risky") + COUNTIF(E23:E28, "Not Good"), "Looks Good",
     COUNTIF(E23:E28, "Not Good") &gt; COUNTIF(E23:E28, "Looks Good") + COUNTIF(E23:E28, "Somewhat Risky"), "Not Good",
     COUNTIF(E23:E28, "Looks Good") = COUNTIF(E23:E28, "Not Good"), "Somewhat Risky",
     COUNTIF(E23:E28, "Looks Good") = COUNTIF(E23:E28, "Somewhat Risky"), "Somewhat Risky",
     COUNTIF(E23:E28, "Not Good") = COUNTIF(E23:E28, "Somewhat Risky"), "Somewhat Risky",
     AND(COUNTIF(E23:E28, "Looks Good") = 0, COUNTIF(E23:E28, "Somewhat Risky") = 0, COUNTIF(E23:E28, "Not Good") = 0), "")</f>
        <v>#NAME?</v>
      </c>
    </row>
    <row r="11" spans="1:8" ht="39.6" x14ac:dyDescent="0.25">
      <c r="A11" s="6" t="s">
        <v>417</v>
      </c>
      <c r="B11" s="6" t="s">
        <v>424</v>
      </c>
      <c r="C11" s="6"/>
      <c r="D11" s="6"/>
      <c r="E11" s="150"/>
      <c r="F11" s="151"/>
      <c r="G11" s="154" t="s">
        <v>425</v>
      </c>
      <c r="H11" s="155" t="e">
        <f ca="1">_xludf.IFS(COUNTIF(E29:E34, "Somewhat Risky") &gt; COUNTIF(E29:E34, "Looks Good") + COUNTIF(E29:E34, "Not Good"), "Somewhat Risky",
     COUNTIF(E29:E34, "Looks Good") &gt; COUNTIF(E29:E34, "Somewhat Risky") + COUNTIF(E29:E34, "Not Good"), "Looks Good",
     COUNTIF(E29:E34, "Not Good") &gt; COUNTIF(E29:E34, "Looks Good") + COUNTIF(E29:E34, "Somewhat Risky"), "Not Good",
     COUNTIF(E29:E34, "Looks Good") = COUNTIF(E29:E34, "Not Good"), "Somewhat Risky",
     COUNTIF(E29:E34, "Looks Good") = COUNTIF(E29:E34, "Somewhat Risky"), "Somewhat Risky",
     COUNTIF(E29:E34, "Not Good") = COUNTIF(E29:E34, "Somewhat Risky"), "Somewhat Risky",
     AND(COUNTIF(E29:E34, "Looks Good") = 0, COUNTIF(E29:E34, "Somewhat Risky") = 0, COUNTIF(E29:E34, "Not Good") = 0), "")</f>
        <v>#NAME?</v>
      </c>
    </row>
    <row r="12" spans="1:8" ht="26.4" x14ac:dyDescent="0.25">
      <c r="A12" s="6" t="s">
        <v>417</v>
      </c>
      <c r="B12" s="6" t="s">
        <v>426</v>
      </c>
      <c r="C12" s="6"/>
      <c r="D12" s="6"/>
      <c r="E12" s="150"/>
      <c r="F12" s="151"/>
      <c r="G12" s="154" t="s">
        <v>427</v>
      </c>
      <c r="H12" s="155" t="e">
        <f ca="1">_xludf.IFS(COUNTIF(E35:E39, "Somewhat Risky") &gt; COUNTIF(E35:E39, "Looks Good") + COUNTIF(E35:E39, "Not Good"), "Somewhat Risky",
     COUNTIF(E35:E39, "Looks Good") &gt; COUNTIF(E35:E39, "Somewhat Risky") + COUNTIF(E35:E39, "Not Good"), "Looks Good",
     COUNTIF(E35:E39, "Not Good") &gt; COUNTIF(E35:E39, "Looks Good") + COUNTIF(E35:E39, "Somewhat Risky"), "Not Good",
     COUNTIF(E35:E39, "Looks Good") = COUNTIF(E35:E39, "Not Good"), "Somewhat Risky",
     COUNTIF(E35:E39, "Looks Good") = COUNTIF(E35:E39, "Somewhat Risky"), "Somewhat Risky",
     COUNTIF(E35:E39, "Not Good") = COUNTIF(E35:E39, "Somewhat Risky"), "Somewhat Risky",
     AND(COUNTIF(E35:E39, "Looks Good") = 0, COUNTIF(E35:E39, "Somewhat Risky") = 0, COUNTIF(E35:E39, "Not Good") = 0), "")</f>
        <v>#NAME?</v>
      </c>
    </row>
    <row r="13" spans="1:8" ht="39.6" x14ac:dyDescent="0.25">
      <c r="A13" s="6" t="s">
        <v>417</v>
      </c>
      <c r="B13" s="6" t="s">
        <v>428</v>
      </c>
      <c r="C13" s="6"/>
      <c r="D13" s="6"/>
      <c r="E13" s="150"/>
      <c r="F13" s="151"/>
      <c r="G13" s="156" t="s">
        <v>429</v>
      </c>
      <c r="H13" s="155" t="e">
        <f ca="1">_xludf.IFS(COUNTIF(E40:E43, "Somewhat Risky") &gt; COUNTIF(E40:E43, "Looks Good") + COUNTIF(E40:E43, "Not Good"), "Somewhat Risky",
     COUNTIF(E40:E43, "Looks Good") &gt; COUNTIF(E40:E43, "Somewhat Risky") + COUNTIF(E40:E43, "Not Good"), "Looks Good",
     COUNTIF(E40:E43, "Not Good") &gt; COUNTIF(E40:E43, "Looks Good") + COUNTIF(E40:E43, "Somewhat Risky"), "Not Good",
     COUNTIF(E40:E43, "Looks Good") = COUNTIF(E40:E43, "Not Good"), "Somewhat Risky",
     COUNTIF(E40:E43, "Looks Good") = COUNTIF(E40:E43, "Somewhat Risky"), "Somewhat Risky",
     COUNTIF(E40:E43, "Not Good") = COUNTIF(E40:E43, "Somewhat Risky"), "Somewhat Risky",
     AND(COUNTIF(E40:E43, "Looks Good") = 0, COUNTIF(E40:E43, "Somewhat Risky") = 0, COUNTIF(E40:E43, "Not Good") = 0), "")</f>
        <v>#NAME?</v>
      </c>
    </row>
    <row r="14" spans="1:8" ht="39.6" x14ac:dyDescent="0.25">
      <c r="A14" s="6" t="s">
        <v>419</v>
      </c>
      <c r="B14" s="6" t="s">
        <v>430</v>
      </c>
      <c r="C14" s="6"/>
      <c r="D14" s="6"/>
      <c r="E14" s="150"/>
      <c r="F14" s="151"/>
      <c r="G14" s="156" t="s">
        <v>431</v>
      </c>
      <c r="H14" s="155" t="e">
        <f ca="1">_xludf.IFS(COUNTIF(E44:E50, "Somewhat Risky") &gt; COUNTIF(E44:E50, "Looks Good") + COUNTIF(E44:E50, "Not Good"), "Somewhat Risky",
     COUNTIF(E44:E50, "Looks Good") &gt; COUNTIF(E44:E50, "Somewhat Risky") + COUNTIF(E44:E50, "Not Good"), "Looks Good",
     COUNTIF(E44:E50, "Not Good") &gt; COUNTIF(E44:E50, "Looks Good") + COUNTIF(E44:E50, "Somewhat Risky"), "Not Good",
     COUNTIF(E44:E50, "Looks Good") = COUNTIF(E44:E50, "Not Good"), "Somewhat Risky",
     COUNTIF(E44:E50, "Looks Good") = COUNTIF(E44:E50, "Somewhat Risky"), "Somewhat Risky",
     COUNTIF(E44:E50, "Not Good") = COUNTIF(E44:E50, "Somewhat Risky"), "Somewhat Risky",
     AND(COUNTIF(E44:E50, "Looks Good") = 0, COUNTIF(E44:E50, "Somewhat Risky") = 0, COUNTIF(E44:E50, "Not Good") = 0), "")</f>
        <v>#NAME?</v>
      </c>
    </row>
    <row r="15" spans="1:8" ht="39.6" x14ac:dyDescent="0.25">
      <c r="A15" s="6" t="s">
        <v>419</v>
      </c>
      <c r="B15" s="6" t="s">
        <v>432</v>
      </c>
      <c r="C15" s="6"/>
      <c r="D15" s="6"/>
      <c r="E15" s="150"/>
      <c r="F15" s="157"/>
      <c r="G15" s="158" t="s">
        <v>433</v>
      </c>
      <c r="H15" s="159" t="e">
        <f ca="1">_xludf.IFS(COUNTIF(E51:E54, "Somewhat Risky") &gt; COUNTIF(E51:E54, "Looks Good") + COUNTIF(E51:E54, "Not Good"), "Somewhat Risky",
     COUNTIF(E51:E54, "Looks Good") &gt; COUNTIF(E51:E54, "Somewhat Risky") + COUNTIF(E51:E54, "Not Good"), "Looks Good",
     COUNTIF(E51:E54, "Not Good") &gt; COUNTIF(E51:E54, "Looks Good") + COUNTIF(E51:E54, "Somewhat Risky"), "Not Good",
     COUNTIF(E51:E54, "Looks Good") = COUNTIF(E51:E54, "Not Good"), "Somewhat Risky",
     COUNTIF(E51:E54, "Looks Good") = COUNTIF(E51:E54, "Somewhat Risky"), "Somewhat Risky",
     COUNTIF(E51:E54, "Not Good") = COUNTIF(E51:E54, "Somewhat Risky"), "Somewhat Risky",
     AND(COUNTIF(E51:E54, "Looks Good") = 0, COUNTIF(E51:E54, "Somewhat Risky") = 0, COUNTIF(E51:E54, "Not Good") = 0), "")</f>
        <v>#NAME?</v>
      </c>
    </row>
    <row r="16" spans="1:8" ht="39.6" x14ac:dyDescent="0.25">
      <c r="A16" s="6" t="s">
        <v>419</v>
      </c>
      <c r="B16" s="6" t="s">
        <v>434</v>
      </c>
      <c r="C16" s="6"/>
      <c r="D16" s="6"/>
      <c r="E16" s="150"/>
      <c r="F16" s="157"/>
      <c r="G16" s="139"/>
      <c r="H16" s="139"/>
    </row>
    <row r="17" spans="1:8" ht="39.6" x14ac:dyDescent="0.25">
      <c r="A17" s="6" t="s">
        <v>419</v>
      </c>
      <c r="B17" s="6" t="s">
        <v>435</v>
      </c>
      <c r="C17" s="6"/>
      <c r="D17" s="6"/>
      <c r="E17" s="150"/>
      <c r="F17" s="157"/>
      <c r="G17" s="125"/>
      <c r="H17" s="125"/>
    </row>
    <row r="18" spans="1:8" ht="39.6" x14ac:dyDescent="0.25">
      <c r="A18" s="6" t="s">
        <v>436</v>
      </c>
      <c r="B18" s="6" t="s">
        <v>437</v>
      </c>
      <c r="C18" s="6"/>
      <c r="D18" s="6"/>
      <c r="E18" s="150"/>
      <c r="F18" s="157"/>
      <c r="G18" s="125"/>
      <c r="H18" s="125"/>
    </row>
    <row r="19" spans="1:8" ht="26.4" x14ac:dyDescent="0.25">
      <c r="A19" s="6" t="s">
        <v>436</v>
      </c>
      <c r="B19" s="6" t="s">
        <v>438</v>
      </c>
      <c r="C19" s="6"/>
      <c r="D19" s="6"/>
      <c r="E19" s="150"/>
      <c r="F19" s="157"/>
      <c r="G19" s="125"/>
      <c r="H19" s="125"/>
    </row>
    <row r="20" spans="1:8" ht="39.6" x14ac:dyDescent="0.25">
      <c r="A20" s="6" t="s">
        <v>436</v>
      </c>
      <c r="B20" s="6" t="s">
        <v>439</v>
      </c>
      <c r="C20" s="6"/>
      <c r="D20" s="6"/>
      <c r="E20" s="150"/>
      <c r="F20" s="157"/>
      <c r="G20" s="125"/>
      <c r="H20" s="125"/>
    </row>
    <row r="21" spans="1:8" ht="39.6" x14ac:dyDescent="0.25">
      <c r="A21" s="6" t="s">
        <v>436</v>
      </c>
      <c r="B21" s="6" t="s">
        <v>440</v>
      </c>
      <c r="C21" s="6"/>
      <c r="D21" s="6"/>
      <c r="E21" s="150"/>
      <c r="F21" s="157"/>
      <c r="G21" s="125"/>
      <c r="H21" s="125"/>
    </row>
    <row r="22" spans="1:8" ht="39.6" x14ac:dyDescent="0.25">
      <c r="A22" s="6" t="s">
        <v>436</v>
      </c>
      <c r="B22" s="6" t="s">
        <v>441</v>
      </c>
      <c r="C22" s="6"/>
      <c r="D22" s="6"/>
      <c r="E22" s="150"/>
      <c r="F22" s="157"/>
      <c r="G22" s="125"/>
      <c r="H22" s="125"/>
    </row>
    <row r="23" spans="1:8" ht="39.6" x14ac:dyDescent="0.25">
      <c r="A23" s="6" t="s">
        <v>423</v>
      </c>
      <c r="B23" s="6" t="s">
        <v>442</v>
      </c>
      <c r="C23" s="6"/>
      <c r="D23" s="6"/>
      <c r="E23" s="150"/>
      <c r="F23" s="157"/>
      <c r="G23" s="125"/>
      <c r="H23" s="125"/>
    </row>
    <row r="24" spans="1:8" ht="26.4" x14ac:dyDescent="0.25">
      <c r="A24" s="6" t="s">
        <v>423</v>
      </c>
      <c r="B24" s="6" t="s">
        <v>443</v>
      </c>
      <c r="C24" s="6"/>
      <c r="D24" s="6"/>
      <c r="E24" s="150"/>
      <c r="F24" s="157"/>
      <c r="G24" s="125"/>
      <c r="H24" s="125"/>
    </row>
    <row r="25" spans="1:8" ht="26.4" x14ac:dyDescent="0.25">
      <c r="A25" s="6" t="s">
        <v>423</v>
      </c>
      <c r="B25" s="6" t="s">
        <v>444</v>
      </c>
      <c r="C25" s="6"/>
      <c r="D25" s="6"/>
      <c r="E25" s="150"/>
      <c r="F25" s="157"/>
      <c r="G25" s="125"/>
      <c r="H25" s="125"/>
    </row>
    <row r="26" spans="1:8" ht="39.6" x14ac:dyDescent="0.25">
      <c r="A26" s="6" t="s">
        <v>423</v>
      </c>
      <c r="B26" s="6" t="s">
        <v>445</v>
      </c>
      <c r="C26" s="6"/>
      <c r="D26" s="6"/>
      <c r="E26" s="150"/>
      <c r="F26" s="157"/>
      <c r="G26" s="125"/>
      <c r="H26" s="125"/>
    </row>
    <row r="27" spans="1:8" ht="39.6" x14ac:dyDescent="0.25">
      <c r="A27" s="6" t="s">
        <v>423</v>
      </c>
      <c r="B27" s="6" t="s">
        <v>446</v>
      </c>
      <c r="C27" s="6"/>
      <c r="D27" s="6"/>
      <c r="E27" s="150"/>
      <c r="F27" s="157"/>
      <c r="G27" s="125"/>
      <c r="H27" s="125"/>
    </row>
    <row r="28" spans="1:8" ht="39.6" x14ac:dyDescent="0.25">
      <c r="A28" s="6" t="s">
        <v>423</v>
      </c>
      <c r="B28" s="6" t="s">
        <v>447</v>
      </c>
      <c r="C28" s="6"/>
      <c r="D28" s="6"/>
      <c r="E28" s="150"/>
      <c r="F28" s="157"/>
      <c r="G28" s="125"/>
      <c r="H28" s="125"/>
    </row>
    <row r="29" spans="1:8" ht="26.4" x14ac:dyDescent="0.25">
      <c r="A29" s="6" t="s">
        <v>425</v>
      </c>
      <c r="B29" s="6" t="s">
        <v>448</v>
      </c>
      <c r="C29" s="6"/>
      <c r="D29" s="6"/>
      <c r="E29" s="150"/>
      <c r="F29" s="157"/>
      <c r="G29" s="125"/>
      <c r="H29" s="125"/>
    </row>
    <row r="30" spans="1:8" ht="26.4" x14ac:dyDescent="0.25">
      <c r="A30" s="6" t="s">
        <v>425</v>
      </c>
      <c r="B30" s="6" t="s">
        <v>449</v>
      </c>
      <c r="C30" s="6"/>
      <c r="D30" s="6"/>
      <c r="E30" s="150"/>
      <c r="F30" s="157"/>
      <c r="G30" s="125"/>
      <c r="H30" s="125"/>
    </row>
    <row r="31" spans="1:8" ht="39.6" x14ac:dyDescent="0.25">
      <c r="A31" s="6" t="s">
        <v>425</v>
      </c>
      <c r="B31" s="6" t="s">
        <v>450</v>
      </c>
      <c r="C31" s="6"/>
      <c r="D31" s="6"/>
      <c r="E31" s="150"/>
      <c r="F31" s="157"/>
      <c r="G31" s="125"/>
      <c r="H31" s="125"/>
    </row>
    <row r="32" spans="1:8" ht="39.6" x14ac:dyDescent="0.25">
      <c r="A32" s="6" t="s">
        <v>425</v>
      </c>
      <c r="B32" s="6" t="s">
        <v>451</v>
      </c>
      <c r="C32" s="6"/>
      <c r="D32" s="6"/>
      <c r="E32" s="150"/>
      <c r="F32" s="157"/>
      <c r="G32" s="125"/>
      <c r="H32" s="125"/>
    </row>
    <row r="33" spans="1:8" ht="26.4" x14ac:dyDescent="0.25">
      <c r="A33" s="6" t="s">
        <v>425</v>
      </c>
      <c r="B33" s="6" t="s">
        <v>452</v>
      </c>
      <c r="C33" s="6"/>
      <c r="D33" s="6"/>
      <c r="E33" s="150"/>
      <c r="F33" s="157"/>
      <c r="G33" s="125"/>
      <c r="H33" s="125"/>
    </row>
    <row r="34" spans="1:8" ht="39.6" x14ac:dyDescent="0.25">
      <c r="A34" s="6" t="s">
        <v>425</v>
      </c>
      <c r="B34" s="6" t="s">
        <v>453</v>
      </c>
      <c r="C34" s="6"/>
      <c r="D34" s="6"/>
      <c r="E34" s="150"/>
      <c r="F34" s="157"/>
      <c r="G34" s="125"/>
      <c r="H34" s="125"/>
    </row>
    <row r="35" spans="1:8" ht="39.6" x14ac:dyDescent="0.25">
      <c r="A35" s="6" t="s">
        <v>427</v>
      </c>
      <c r="B35" s="6" t="s">
        <v>454</v>
      </c>
      <c r="C35" s="6"/>
      <c r="D35" s="6"/>
      <c r="E35" s="150"/>
      <c r="F35" s="157"/>
      <c r="G35" s="125"/>
      <c r="H35" s="125"/>
    </row>
    <row r="36" spans="1:8" ht="26.4" x14ac:dyDescent="0.25">
      <c r="A36" s="6" t="s">
        <v>427</v>
      </c>
      <c r="B36" s="6" t="s">
        <v>455</v>
      </c>
      <c r="C36" s="6"/>
      <c r="D36" s="6"/>
      <c r="E36" s="150"/>
      <c r="F36" s="157"/>
      <c r="G36" s="125"/>
      <c r="H36" s="125"/>
    </row>
    <row r="37" spans="1:8" ht="26.4" x14ac:dyDescent="0.25">
      <c r="A37" s="6" t="s">
        <v>427</v>
      </c>
      <c r="B37" s="6" t="s">
        <v>456</v>
      </c>
      <c r="C37" s="6"/>
      <c r="D37" s="6"/>
      <c r="E37" s="150"/>
      <c r="F37" s="157"/>
      <c r="G37" s="125"/>
      <c r="H37" s="125"/>
    </row>
    <row r="38" spans="1:8" ht="26.4" x14ac:dyDescent="0.25">
      <c r="A38" s="6" t="s">
        <v>427</v>
      </c>
      <c r="B38" s="6" t="s">
        <v>457</v>
      </c>
      <c r="C38" s="6"/>
      <c r="D38" s="6"/>
      <c r="E38" s="150"/>
      <c r="F38" s="157"/>
      <c r="G38" s="125"/>
      <c r="H38" s="125"/>
    </row>
    <row r="39" spans="1:8" ht="39.6" x14ac:dyDescent="0.25">
      <c r="A39" s="6" t="s">
        <v>427</v>
      </c>
      <c r="B39" s="6" t="s">
        <v>458</v>
      </c>
      <c r="C39" s="6"/>
      <c r="D39" s="6"/>
      <c r="E39" s="150"/>
      <c r="F39" s="157"/>
      <c r="G39" s="125"/>
      <c r="H39" s="125"/>
    </row>
    <row r="40" spans="1:8" ht="39.6" x14ac:dyDescent="0.25">
      <c r="A40" s="6" t="s">
        <v>429</v>
      </c>
      <c r="B40" s="6" t="s">
        <v>459</v>
      </c>
      <c r="C40" s="6"/>
      <c r="D40" s="6"/>
      <c r="E40" s="150"/>
      <c r="F40" s="157"/>
      <c r="G40" s="125"/>
      <c r="H40" s="125"/>
    </row>
    <row r="41" spans="1:8" ht="39.6" x14ac:dyDescent="0.25">
      <c r="A41" s="6" t="s">
        <v>429</v>
      </c>
      <c r="B41" s="6" t="s">
        <v>460</v>
      </c>
      <c r="C41" s="6"/>
      <c r="D41" s="6"/>
      <c r="E41" s="150"/>
      <c r="F41" s="157"/>
      <c r="G41" s="125"/>
      <c r="H41" s="125"/>
    </row>
    <row r="42" spans="1:8" ht="52.8" x14ac:dyDescent="0.25">
      <c r="A42" s="6" t="s">
        <v>429</v>
      </c>
      <c r="B42" s="6" t="s">
        <v>461</v>
      </c>
      <c r="C42" s="6"/>
      <c r="D42" s="6"/>
      <c r="E42" s="150"/>
      <c r="F42" s="157"/>
      <c r="G42" s="125"/>
      <c r="H42" s="125"/>
    </row>
    <row r="43" spans="1:8" ht="39.6" x14ac:dyDescent="0.25">
      <c r="A43" s="6" t="s">
        <v>429</v>
      </c>
      <c r="B43" s="6" t="s">
        <v>462</v>
      </c>
      <c r="C43" s="6"/>
      <c r="D43" s="6"/>
      <c r="E43" s="150"/>
      <c r="F43" s="157"/>
      <c r="G43" s="125"/>
      <c r="H43" s="125"/>
    </row>
    <row r="44" spans="1:8" ht="39.6" x14ac:dyDescent="0.25">
      <c r="A44" s="6" t="s">
        <v>431</v>
      </c>
      <c r="B44" s="6" t="s">
        <v>463</v>
      </c>
      <c r="C44" s="6"/>
      <c r="D44" s="6"/>
      <c r="E44" s="150"/>
      <c r="F44" s="157"/>
      <c r="G44" s="125"/>
      <c r="H44" s="125"/>
    </row>
    <row r="45" spans="1:8" ht="26.4" x14ac:dyDescent="0.25">
      <c r="A45" s="6" t="s">
        <v>431</v>
      </c>
      <c r="B45" s="6" t="s">
        <v>464</v>
      </c>
      <c r="C45" s="6"/>
      <c r="D45" s="6"/>
      <c r="E45" s="150"/>
      <c r="F45" s="157"/>
      <c r="G45" s="125"/>
      <c r="H45" s="125"/>
    </row>
    <row r="46" spans="1:8" ht="39.6" x14ac:dyDescent="0.25">
      <c r="A46" s="6" t="s">
        <v>431</v>
      </c>
      <c r="B46" s="6" t="s">
        <v>465</v>
      </c>
      <c r="C46" s="6"/>
      <c r="D46" s="6"/>
      <c r="E46" s="150"/>
      <c r="F46" s="157"/>
      <c r="G46" s="125"/>
      <c r="H46" s="125"/>
    </row>
    <row r="47" spans="1:8" ht="39.6" x14ac:dyDescent="0.25">
      <c r="A47" s="6" t="s">
        <v>431</v>
      </c>
      <c r="B47" s="6" t="s">
        <v>466</v>
      </c>
      <c r="C47" s="6"/>
      <c r="D47" s="6"/>
      <c r="E47" s="150"/>
      <c r="F47" s="157"/>
      <c r="G47" s="125"/>
      <c r="H47" s="125"/>
    </row>
    <row r="48" spans="1:8" ht="39.6" x14ac:dyDescent="0.25">
      <c r="A48" s="6" t="s">
        <v>431</v>
      </c>
      <c r="B48" s="6" t="s">
        <v>467</v>
      </c>
      <c r="C48" s="6"/>
      <c r="D48" s="6"/>
      <c r="E48" s="150"/>
      <c r="F48" s="157"/>
      <c r="G48" s="125"/>
      <c r="H48" s="125"/>
    </row>
    <row r="49" spans="1:8" ht="26.4" x14ac:dyDescent="0.25">
      <c r="A49" s="6" t="s">
        <v>431</v>
      </c>
      <c r="B49" s="6" t="s">
        <v>468</v>
      </c>
      <c r="C49" s="6"/>
      <c r="D49" s="6"/>
      <c r="E49" s="150"/>
      <c r="F49" s="157"/>
      <c r="G49" s="125"/>
      <c r="H49" s="125"/>
    </row>
    <row r="50" spans="1:8" ht="26.4" x14ac:dyDescent="0.25">
      <c r="A50" s="6" t="s">
        <v>431</v>
      </c>
      <c r="B50" s="6" t="s">
        <v>469</v>
      </c>
      <c r="C50" s="6"/>
      <c r="D50" s="6"/>
      <c r="E50" s="150"/>
      <c r="F50" s="157"/>
      <c r="G50" s="125"/>
      <c r="H50" s="125"/>
    </row>
    <row r="51" spans="1:8" ht="52.8" x14ac:dyDescent="0.25">
      <c r="A51" s="6" t="s">
        <v>433</v>
      </c>
      <c r="B51" s="6" t="s">
        <v>470</v>
      </c>
      <c r="C51" s="6"/>
      <c r="D51" s="6"/>
      <c r="E51" s="150"/>
      <c r="F51" s="157"/>
      <c r="G51" s="125"/>
      <c r="H51" s="125"/>
    </row>
    <row r="52" spans="1:8" ht="39.6" x14ac:dyDescent="0.25">
      <c r="A52" s="6" t="s">
        <v>433</v>
      </c>
      <c r="B52" s="6" t="s">
        <v>471</v>
      </c>
      <c r="C52" s="6"/>
      <c r="D52" s="6"/>
      <c r="E52" s="150"/>
      <c r="F52" s="157"/>
      <c r="G52" s="125"/>
      <c r="H52" s="125"/>
    </row>
    <row r="53" spans="1:8" ht="39.6" x14ac:dyDescent="0.25">
      <c r="A53" s="6" t="s">
        <v>433</v>
      </c>
      <c r="B53" s="6" t="s">
        <v>472</v>
      </c>
      <c r="C53" s="6"/>
      <c r="D53" s="6"/>
      <c r="E53" s="150"/>
      <c r="F53" s="157"/>
      <c r="G53" s="125"/>
      <c r="H53" s="125"/>
    </row>
    <row r="54" spans="1:8" ht="39.6" x14ac:dyDescent="0.25">
      <c r="A54" s="160" t="s">
        <v>433</v>
      </c>
      <c r="B54" s="160" t="s">
        <v>473</v>
      </c>
      <c r="C54" s="160"/>
      <c r="D54" s="160"/>
      <c r="E54" s="150"/>
      <c r="F54" s="157"/>
      <c r="G54" s="125"/>
      <c r="H54" s="125"/>
    </row>
    <row r="55" spans="1:8" ht="13.2" x14ac:dyDescent="0.25">
      <c r="A55" s="6"/>
      <c r="B55" s="6"/>
      <c r="C55" s="6"/>
      <c r="D55" s="6"/>
      <c r="E55" s="32"/>
      <c r="F55" s="161"/>
      <c r="G55" s="125"/>
      <c r="H55" s="125"/>
    </row>
  </sheetData>
  <mergeCells count="4">
    <mergeCell ref="A1:E1"/>
    <mergeCell ref="A2:E2"/>
    <mergeCell ref="G4:H4"/>
    <mergeCell ref="G5:H5"/>
  </mergeCells>
  <conditionalFormatting sqref="H6:H15">
    <cfRule type="containsText" dxfId="3" priority="1" operator="containsText" text="Somewhat">
      <formula>NOT(ISERROR(SEARCH(("Somewhat"),(H6))))</formula>
    </cfRule>
    <cfRule type="containsText" dxfId="2" priority="2" operator="containsText" text="Looks Good">
      <formula>NOT(ISERROR(SEARCH(("Looks Good"),(H6))))</formula>
    </cfRule>
    <cfRule type="containsText" dxfId="1" priority="3" operator="containsText" text="Not">
      <formula>NOT(ISERROR(SEARCH(("Not"),(H6))))</formula>
    </cfRule>
  </conditionalFormatting>
  <dataValidations count="1">
    <dataValidation type="list" allowBlank="1" showErrorMessage="1" sqref="E5:E55" xr:uid="{00000000-0002-0000-0600-000000000000}">
      <formula1>"Looks Good,Somewhat Risky,Not Good"</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G51"/>
  <sheetViews>
    <sheetView workbookViewId="0"/>
  </sheetViews>
  <sheetFormatPr defaultColWidth="12.6640625" defaultRowHeight="15.75" customHeight="1" x14ac:dyDescent="0.25"/>
  <cols>
    <col min="1" max="1" width="19.77734375" customWidth="1"/>
    <col min="2" max="2" width="46" customWidth="1"/>
    <col min="3" max="3" width="21.88671875" customWidth="1"/>
    <col min="4" max="4" width="50.88671875" customWidth="1"/>
    <col min="5" max="5" width="16" customWidth="1"/>
    <col min="6" max="7" width="20.33203125" customWidth="1"/>
  </cols>
  <sheetData>
    <row r="1" spans="1:7" ht="19.2" x14ac:dyDescent="0.35">
      <c r="A1" s="336" t="s">
        <v>474</v>
      </c>
      <c r="B1" s="297"/>
      <c r="C1" s="297"/>
      <c r="D1" s="297"/>
      <c r="E1" s="297"/>
      <c r="F1" s="297"/>
      <c r="G1" s="123"/>
    </row>
    <row r="2" spans="1:7" ht="14.4" x14ac:dyDescent="0.3">
      <c r="A2" s="337" t="s">
        <v>475</v>
      </c>
      <c r="B2" s="297"/>
      <c r="C2" s="297"/>
      <c r="D2" s="297"/>
      <c r="E2" s="297"/>
      <c r="F2" s="297"/>
      <c r="G2" s="124"/>
    </row>
    <row r="3" spans="1:7" ht="9.75" customHeight="1" x14ac:dyDescent="0.25">
      <c r="A3" s="137"/>
      <c r="B3" s="127"/>
      <c r="C3" s="127"/>
      <c r="D3" s="127"/>
      <c r="E3" s="127"/>
      <c r="F3" s="127"/>
      <c r="G3" s="6"/>
    </row>
    <row r="4" spans="1:7" ht="13.2" x14ac:dyDescent="0.25">
      <c r="A4" s="162" t="s">
        <v>223</v>
      </c>
      <c r="B4" s="163" t="s">
        <v>476</v>
      </c>
      <c r="C4" s="163" t="s">
        <v>477</v>
      </c>
      <c r="D4" s="163" t="s">
        <v>226</v>
      </c>
      <c r="E4" s="163" t="s">
        <v>478</v>
      </c>
      <c r="F4" s="164" t="s">
        <v>292</v>
      </c>
      <c r="G4" s="130" t="s">
        <v>479</v>
      </c>
    </row>
    <row r="5" spans="1:7" ht="13.2" x14ac:dyDescent="0.25">
      <c r="A5" s="165" t="s">
        <v>480</v>
      </c>
      <c r="B5" s="32" t="s">
        <v>481</v>
      </c>
      <c r="C5" s="32" t="s">
        <v>482</v>
      </c>
      <c r="E5" s="32"/>
      <c r="F5" s="166"/>
      <c r="G5" s="132"/>
    </row>
    <row r="6" spans="1:7" ht="13.2" x14ac:dyDescent="0.25">
      <c r="A6" s="165" t="s">
        <v>480</v>
      </c>
      <c r="B6" s="32" t="s">
        <v>483</v>
      </c>
      <c r="C6" s="32" t="s">
        <v>484</v>
      </c>
      <c r="E6" s="32"/>
      <c r="F6" s="166"/>
      <c r="G6" s="132"/>
    </row>
    <row r="7" spans="1:7" ht="13.2" x14ac:dyDescent="0.25">
      <c r="A7" s="165" t="s">
        <v>480</v>
      </c>
      <c r="B7" s="32" t="s">
        <v>485</v>
      </c>
      <c r="C7" s="32" t="s">
        <v>482</v>
      </c>
      <c r="E7" s="32"/>
      <c r="F7" s="166"/>
      <c r="G7" s="132"/>
    </row>
    <row r="8" spans="1:7" ht="13.2" x14ac:dyDescent="0.25">
      <c r="A8" s="165" t="s">
        <v>480</v>
      </c>
      <c r="B8" s="32" t="s">
        <v>486</v>
      </c>
      <c r="C8" s="32" t="s">
        <v>482</v>
      </c>
      <c r="E8" s="32"/>
      <c r="F8" s="166"/>
      <c r="G8" s="132"/>
    </row>
    <row r="9" spans="1:7" ht="13.2" x14ac:dyDescent="0.25">
      <c r="A9" s="165" t="s">
        <v>487</v>
      </c>
      <c r="B9" s="32" t="s">
        <v>488</v>
      </c>
      <c r="C9" s="32" t="s">
        <v>482</v>
      </c>
      <c r="E9" s="32"/>
      <c r="F9" s="166"/>
      <c r="G9" s="132"/>
    </row>
    <row r="10" spans="1:7" ht="13.2" x14ac:dyDescent="0.25">
      <c r="A10" s="165" t="s">
        <v>487</v>
      </c>
      <c r="B10" s="32" t="s">
        <v>489</v>
      </c>
      <c r="C10" s="32" t="s">
        <v>482</v>
      </c>
      <c r="E10" s="32"/>
      <c r="F10" s="166"/>
      <c r="G10" s="132"/>
    </row>
    <row r="11" spans="1:7" ht="13.2" x14ac:dyDescent="0.25">
      <c r="A11" s="165" t="s">
        <v>487</v>
      </c>
      <c r="B11" s="32" t="s">
        <v>490</v>
      </c>
      <c r="C11" s="32" t="s">
        <v>482</v>
      </c>
      <c r="E11" s="32"/>
      <c r="F11" s="166"/>
      <c r="G11" s="132"/>
    </row>
    <row r="12" spans="1:7" ht="13.2" x14ac:dyDescent="0.25">
      <c r="A12" s="165" t="s">
        <v>491</v>
      </c>
      <c r="B12" s="32" t="s">
        <v>492</v>
      </c>
      <c r="C12" s="32" t="s">
        <v>493</v>
      </c>
      <c r="E12" s="32"/>
      <c r="F12" s="166"/>
      <c r="G12" s="132"/>
    </row>
    <row r="13" spans="1:7" ht="13.2" x14ac:dyDescent="0.25">
      <c r="A13" s="165" t="s">
        <v>491</v>
      </c>
      <c r="B13" s="32" t="s">
        <v>494</v>
      </c>
      <c r="C13" s="32" t="s">
        <v>495</v>
      </c>
      <c r="E13" s="32"/>
      <c r="F13" s="166"/>
      <c r="G13" s="132"/>
    </row>
    <row r="14" spans="1:7" ht="13.2" x14ac:dyDescent="0.25">
      <c r="A14" s="165" t="s">
        <v>491</v>
      </c>
      <c r="B14" s="32" t="s">
        <v>496</v>
      </c>
      <c r="C14" s="32" t="s">
        <v>495</v>
      </c>
      <c r="E14" s="32"/>
      <c r="F14" s="166"/>
      <c r="G14" s="132"/>
    </row>
    <row r="15" spans="1:7" ht="13.2" x14ac:dyDescent="0.25">
      <c r="A15" s="165" t="s">
        <v>491</v>
      </c>
      <c r="B15" s="32" t="s">
        <v>497</v>
      </c>
      <c r="C15" s="32" t="s">
        <v>495</v>
      </c>
      <c r="E15" s="32"/>
      <c r="F15" s="166"/>
      <c r="G15" s="132"/>
    </row>
    <row r="16" spans="1:7" ht="13.2" x14ac:dyDescent="0.25">
      <c r="A16" s="165" t="s">
        <v>491</v>
      </c>
      <c r="B16" s="32" t="s">
        <v>498</v>
      </c>
      <c r="C16" s="32" t="s">
        <v>495</v>
      </c>
      <c r="E16" s="32"/>
      <c r="F16" s="166"/>
      <c r="G16" s="132"/>
    </row>
    <row r="17" spans="1:7" ht="13.2" x14ac:dyDescent="0.25">
      <c r="A17" s="165" t="s">
        <v>46</v>
      </c>
      <c r="B17" s="32" t="s">
        <v>499</v>
      </c>
      <c r="C17" s="32" t="s">
        <v>482</v>
      </c>
      <c r="E17" s="32"/>
      <c r="F17" s="166"/>
      <c r="G17" s="132"/>
    </row>
    <row r="18" spans="1:7" ht="13.2" x14ac:dyDescent="0.25">
      <c r="A18" s="165" t="s">
        <v>46</v>
      </c>
      <c r="B18" s="32" t="s">
        <v>500</v>
      </c>
      <c r="C18" s="32" t="s">
        <v>493</v>
      </c>
      <c r="E18" s="32"/>
      <c r="F18" s="166"/>
      <c r="G18" s="132"/>
    </row>
    <row r="19" spans="1:7" ht="13.2" x14ac:dyDescent="0.25">
      <c r="A19" s="165" t="s">
        <v>46</v>
      </c>
      <c r="B19" s="32" t="s">
        <v>501</v>
      </c>
      <c r="C19" s="32" t="s">
        <v>482</v>
      </c>
      <c r="E19" s="32"/>
      <c r="F19" s="166"/>
      <c r="G19" s="132"/>
    </row>
    <row r="20" spans="1:7" ht="13.2" x14ac:dyDescent="0.25">
      <c r="A20" s="165" t="s">
        <v>46</v>
      </c>
      <c r="B20" s="32" t="s">
        <v>502</v>
      </c>
      <c r="C20" s="32" t="s">
        <v>482</v>
      </c>
      <c r="E20" s="32"/>
      <c r="F20" s="166"/>
      <c r="G20" s="132"/>
    </row>
    <row r="21" spans="1:7" ht="13.2" x14ac:dyDescent="0.25">
      <c r="A21" s="165" t="s">
        <v>46</v>
      </c>
      <c r="B21" s="32" t="s">
        <v>503</v>
      </c>
      <c r="C21" s="32" t="s">
        <v>482</v>
      </c>
      <c r="E21" s="32"/>
      <c r="F21" s="166"/>
      <c r="G21" s="132"/>
    </row>
    <row r="22" spans="1:7" ht="13.2" x14ac:dyDescent="0.25">
      <c r="A22" s="165" t="s">
        <v>46</v>
      </c>
      <c r="B22" s="32" t="s">
        <v>504</v>
      </c>
      <c r="C22" s="32" t="s">
        <v>482</v>
      </c>
      <c r="E22" s="32"/>
      <c r="F22" s="166"/>
      <c r="G22" s="132"/>
    </row>
    <row r="23" spans="1:7" ht="13.2" x14ac:dyDescent="0.25">
      <c r="A23" s="165" t="s">
        <v>46</v>
      </c>
      <c r="B23" s="32" t="s">
        <v>505</v>
      </c>
      <c r="C23" s="32" t="s">
        <v>506</v>
      </c>
      <c r="E23" s="32"/>
      <c r="F23" s="166"/>
      <c r="G23" s="132"/>
    </row>
    <row r="24" spans="1:7" ht="13.2" x14ac:dyDescent="0.25">
      <c r="A24" s="165" t="s">
        <v>507</v>
      </c>
      <c r="B24" s="32" t="s">
        <v>508</v>
      </c>
      <c r="C24" s="32" t="s">
        <v>484</v>
      </c>
      <c r="E24" s="32"/>
      <c r="F24" s="166"/>
      <c r="G24" s="132"/>
    </row>
    <row r="25" spans="1:7" ht="13.2" x14ac:dyDescent="0.25">
      <c r="A25" s="165" t="s">
        <v>507</v>
      </c>
      <c r="B25" s="32" t="s">
        <v>509</v>
      </c>
      <c r="C25" s="32" t="s">
        <v>484</v>
      </c>
      <c r="E25" s="32"/>
      <c r="F25" s="166"/>
      <c r="G25" s="132"/>
    </row>
    <row r="26" spans="1:7" ht="13.2" x14ac:dyDescent="0.25">
      <c r="A26" s="165" t="s">
        <v>507</v>
      </c>
      <c r="B26" s="32" t="s">
        <v>510</v>
      </c>
      <c r="C26" s="32" t="s">
        <v>482</v>
      </c>
      <c r="E26" s="32"/>
      <c r="F26" s="166"/>
      <c r="G26" s="132"/>
    </row>
    <row r="27" spans="1:7" ht="13.2" x14ac:dyDescent="0.25">
      <c r="A27" s="165" t="s">
        <v>507</v>
      </c>
      <c r="B27" s="32" t="s">
        <v>511</v>
      </c>
      <c r="C27" s="32" t="s">
        <v>482</v>
      </c>
      <c r="E27" s="32"/>
      <c r="F27" s="166"/>
      <c r="G27" s="132"/>
    </row>
    <row r="28" spans="1:7" ht="13.2" x14ac:dyDescent="0.25">
      <c r="A28" s="165" t="s">
        <v>507</v>
      </c>
      <c r="B28" s="32" t="s">
        <v>512</v>
      </c>
      <c r="C28" s="32" t="s">
        <v>482</v>
      </c>
      <c r="E28" s="32"/>
      <c r="F28" s="166"/>
      <c r="G28" s="132"/>
    </row>
    <row r="29" spans="1:7" ht="13.2" x14ac:dyDescent="0.25">
      <c r="A29" s="165" t="s">
        <v>513</v>
      </c>
      <c r="B29" s="32" t="s">
        <v>514</v>
      </c>
      <c r="C29" s="32" t="s">
        <v>482</v>
      </c>
      <c r="E29" s="32"/>
      <c r="F29" s="166"/>
      <c r="G29" s="132"/>
    </row>
    <row r="30" spans="1:7" ht="13.2" x14ac:dyDescent="0.25">
      <c r="A30" s="165" t="s">
        <v>513</v>
      </c>
      <c r="B30" s="32" t="s">
        <v>515</v>
      </c>
      <c r="C30" s="32" t="s">
        <v>493</v>
      </c>
      <c r="E30" s="32"/>
      <c r="F30" s="166"/>
      <c r="G30" s="132"/>
    </row>
    <row r="31" spans="1:7" ht="13.2" x14ac:dyDescent="0.25">
      <c r="A31" s="32" t="s">
        <v>513</v>
      </c>
      <c r="B31" s="32" t="s">
        <v>516</v>
      </c>
      <c r="C31" s="32" t="s">
        <v>482</v>
      </c>
      <c r="E31" s="32"/>
      <c r="F31" s="166"/>
      <c r="G31" s="132"/>
    </row>
    <row r="32" spans="1:7" ht="13.2" x14ac:dyDescent="0.25">
      <c r="A32" s="32" t="s">
        <v>513</v>
      </c>
      <c r="B32" s="32" t="s">
        <v>517</v>
      </c>
      <c r="C32" s="32" t="s">
        <v>482</v>
      </c>
      <c r="E32" s="32"/>
      <c r="F32" s="166"/>
      <c r="G32" s="132"/>
    </row>
    <row r="33" spans="1:7" ht="13.2" x14ac:dyDescent="0.25">
      <c r="A33" s="165" t="s">
        <v>513</v>
      </c>
      <c r="B33" s="32" t="s">
        <v>518</v>
      </c>
      <c r="C33" s="32" t="s">
        <v>484</v>
      </c>
      <c r="E33" s="32"/>
      <c r="F33" s="166"/>
      <c r="G33" s="132"/>
    </row>
    <row r="34" spans="1:7" ht="13.2" x14ac:dyDescent="0.25">
      <c r="A34" s="165" t="s">
        <v>513</v>
      </c>
      <c r="B34" s="32" t="s">
        <v>519</v>
      </c>
      <c r="C34" s="32" t="s">
        <v>484</v>
      </c>
      <c r="E34" s="32"/>
      <c r="F34" s="166"/>
      <c r="G34" s="132"/>
    </row>
    <row r="35" spans="1:7" ht="13.2" x14ac:dyDescent="0.25">
      <c r="A35" s="165" t="s">
        <v>513</v>
      </c>
      <c r="B35" s="32" t="s">
        <v>520</v>
      </c>
      <c r="C35" s="32" t="s">
        <v>484</v>
      </c>
      <c r="E35" s="32"/>
      <c r="F35" s="166"/>
      <c r="G35" s="132"/>
    </row>
    <row r="36" spans="1:7" ht="26.4" x14ac:dyDescent="0.25">
      <c r="A36" s="165" t="s">
        <v>513</v>
      </c>
      <c r="B36" s="6" t="s">
        <v>521</v>
      </c>
      <c r="C36" s="32" t="s">
        <v>482</v>
      </c>
      <c r="E36" s="32"/>
      <c r="F36" s="166"/>
      <c r="G36" s="132"/>
    </row>
    <row r="37" spans="1:7" ht="13.2" x14ac:dyDescent="0.25">
      <c r="A37" s="165" t="s">
        <v>522</v>
      </c>
      <c r="B37" s="32" t="s">
        <v>523</v>
      </c>
      <c r="C37" s="32" t="s">
        <v>482</v>
      </c>
      <c r="D37" s="32"/>
      <c r="E37" s="32"/>
      <c r="F37" s="166"/>
      <c r="G37" s="132"/>
    </row>
    <row r="38" spans="1:7" ht="13.2" x14ac:dyDescent="0.25">
      <c r="A38" s="165" t="s">
        <v>522</v>
      </c>
      <c r="B38" s="32" t="s">
        <v>523</v>
      </c>
      <c r="C38" s="32" t="s">
        <v>482</v>
      </c>
      <c r="E38" s="32"/>
      <c r="F38" s="166"/>
      <c r="G38" s="132"/>
    </row>
    <row r="39" spans="1:7" ht="13.2" x14ac:dyDescent="0.25">
      <c r="A39" s="165" t="s">
        <v>522</v>
      </c>
      <c r="B39" s="32" t="s">
        <v>523</v>
      </c>
      <c r="C39" s="32" t="s">
        <v>482</v>
      </c>
      <c r="E39" s="32"/>
      <c r="F39" s="166"/>
      <c r="G39" s="132"/>
    </row>
    <row r="40" spans="1:7" ht="13.2" x14ac:dyDescent="0.25">
      <c r="A40" s="165" t="s">
        <v>522</v>
      </c>
      <c r="B40" s="32" t="s">
        <v>523</v>
      </c>
      <c r="C40" s="32" t="s">
        <v>482</v>
      </c>
      <c r="E40" s="32"/>
      <c r="F40" s="166"/>
      <c r="G40" s="132"/>
    </row>
    <row r="41" spans="1:7" ht="13.2" x14ac:dyDescent="0.25">
      <c r="A41" s="165" t="s">
        <v>522</v>
      </c>
      <c r="B41" s="32" t="s">
        <v>523</v>
      </c>
      <c r="C41" s="32" t="s">
        <v>482</v>
      </c>
      <c r="E41" s="32"/>
      <c r="F41" s="166"/>
      <c r="G41" s="132"/>
    </row>
    <row r="42" spans="1:7" ht="13.2" x14ac:dyDescent="0.25">
      <c r="A42" s="165" t="s">
        <v>522</v>
      </c>
      <c r="B42" s="32" t="s">
        <v>523</v>
      </c>
      <c r="C42" s="32" t="s">
        <v>482</v>
      </c>
      <c r="E42" s="32"/>
      <c r="F42" s="166"/>
      <c r="G42" s="132"/>
    </row>
    <row r="43" spans="1:7" ht="13.2" x14ac:dyDescent="0.25">
      <c r="A43" s="165" t="s">
        <v>524</v>
      </c>
      <c r="B43" s="32" t="s">
        <v>525</v>
      </c>
      <c r="C43" s="32" t="s">
        <v>493</v>
      </c>
      <c r="E43" s="32"/>
      <c r="F43" s="166"/>
      <c r="G43" s="132"/>
    </row>
    <row r="44" spans="1:7" ht="13.2" x14ac:dyDescent="0.25">
      <c r="A44" s="165" t="s">
        <v>524</v>
      </c>
      <c r="B44" s="32" t="s">
        <v>526</v>
      </c>
      <c r="C44" s="32" t="s">
        <v>493</v>
      </c>
      <c r="E44" s="32"/>
      <c r="F44" s="166"/>
      <c r="G44" s="132"/>
    </row>
    <row r="45" spans="1:7" ht="13.2" x14ac:dyDescent="0.25">
      <c r="A45" s="165" t="s">
        <v>524</v>
      </c>
      <c r="B45" s="32" t="s">
        <v>527</v>
      </c>
      <c r="C45" s="32" t="s">
        <v>493</v>
      </c>
      <c r="E45" s="32"/>
      <c r="F45" s="166"/>
      <c r="G45" s="132"/>
    </row>
    <row r="46" spans="1:7" ht="13.2" x14ac:dyDescent="0.25">
      <c r="A46" s="165" t="s">
        <v>524</v>
      </c>
      <c r="B46" s="32" t="s">
        <v>528</v>
      </c>
      <c r="C46" s="32" t="s">
        <v>493</v>
      </c>
      <c r="E46" s="32"/>
      <c r="F46" s="166"/>
      <c r="G46" s="132"/>
    </row>
    <row r="47" spans="1:7" ht="13.2" x14ac:dyDescent="0.25">
      <c r="A47" s="165" t="s">
        <v>524</v>
      </c>
      <c r="B47" s="32" t="s">
        <v>529</v>
      </c>
      <c r="C47" s="32" t="s">
        <v>493</v>
      </c>
      <c r="E47" s="32"/>
      <c r="F47" s="166"/>
      <c r="G47" s="132"/>
    </row>
    <row r="48" spans="1:7" ht="13.2" x14ac:dyDescent="0.25">
      <c r="A48" s="165" t="s">
        <v>524</v>
      </c>
      <c r="B48" s="32" t="s">
        <v>530</v>
      </c>
      <c r="C48" s="32" t="s">
        <v>493</v>
      </c>
      <c r="E48" s="32"/>
      <c r="F48" s="166"/>
      <c r="G48" s="132"/>
    </row>
    <row r="49" spans="1:7" ht="13.2" x14ac:dyDescent="0.25">
      <c r="A49" s="165" t="s">
        <v>524</v>
      </c>
      <c r="B49" s="32" t="s">
        <v>531</v>
      </c>
      <c r="C49" s="32" t="s">
        <v>493</v>
      </c>
      <c r="E49" s="32"/>
      <c r="F49" s="166"/>
      <c r="G49" s="132"/>
    </row>
    <row r="50" spans="1:7" ht="13.2" x14ac:dyDescent="0.25">
      <c r="A50" s="165" t="s">
        <v>524</v>
      </c>
      <c r="B50" s="32" t="s">
        <v>532</v>
      </c>
      <c r="C50" s="32" t="s">
        <v>493</v>
      </c>
      <c r="E50" s="32"/>
      <c r="F50" s="166"/>
      <c r="G50" s="132"/>
    </row>
    <row r="51" spans="1:7" ht="13.2" x14ac:dyDescent="0.25">
      <c r="A51" s="167" t="s">
        <v>524</v>
      </c>
      <c r="B51" s="168" t="s">
        <v>533</v>
      </c>
      <c r="C51" s="168" t="s">
        <v>493</v>
      </c>
      <c r="D51" s="168"/>
      <c r="E51" s="168"/>
      <c r="F51" s="169"/>
      <c r="G51" s="132"/>
    </row>
  </sheetData>
  <autoFilter ref="A4:F51" xr:uid="{00000000-0009-0000-0000-000007000000}">
    <sortState xmlns:xlrd2="http://schemas.microsoft.com/office/spreadsheetml/2017/richdata2" ref="A4:F51">
      <sortCondition ref="A4:A51"/>
    </sortState>
  </autoFilter>
  <mergeCells count="2">
    <mergeCell ref="A1:F1"/>
    <mergeCell ref="A2:F2"/>
  </mergeCells>
  <dataValidations count="2">
    <dataValidation type="list" allowBlank="1" showErrorMessage="1" sqref="F5:F51" xr:uid="{00000000-0002-0000-0700-000000000000}">
      <formula1>"Not started,In Progress,Blocked,Complete,Ask for clarification"</formula1>
    </dataValidation>
    <dataValidation type="custom" allowBlank="1" showDropDown="1" sqref="E5:E51" xr:uid="{00000000-0002-0000-0700-000001000000}">
      <formula1>OR(NOT(ISERROR(DATEVALUE(E5))), AND(ISNUMBER(E5), LEFT(CELL("format", E5))="D"))</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I50"/>
  <sheetViews>
    <sheetView workbookViewId="0"/>
  </sheetViews>
  <sheetFormatPr defaultColWidth="12.6640625" defaultRowHeight="15.75" customHeight="1" x14ac:dyDescent="0.25"/>
  <cols>
    <col min="1" max="1" width="14.21875" customWidth="1"/>
    <col min="2" max="2" width="52.33203125" customWidth="1"/>
    <col min="3" max="3" width="16.21875" customWidth="1"/>
    <col min="4" max="4" width="46" customWidth="1"/>
    <col min="5" max="5" width="13.109375" customWidth="1"/>
    <col min="6" max="6" width="17.77734375" customWidth="1"/>
    <col min="7" max="7" width="3.21875" customWidth="1"/>
    <col min="9" max="9" width="22.109375" customWidth="1"/>
  </cols>
  <sheetData>
    <row r="1" spans="1:9" ht="14.4" x14ac:dyDescent="0.35">
      <c r="A1" s="336" t="s">
        <v>534</v>
      </c>
      <c r="B1" s="297"/>
      <c r="C1" s="297"/>
      <c r="D1" s="297"/>
      <c r="E1" s="297"/>
      <c r="F1" s="297"/>
      <c r="G1" s="297"/>
      <c r="H1" s="297"/>
      <c r="I1" s="297"/>
    </row>
    <row r="2" spans="1:9" ht="13.8" x14ac:dyDescent="0.3">
      <c r="A2" s="337" t="s">
        <v>535</v>
      </c>
      <c r="B2" s="297"/>
      <c r="C2" s="297"/>
      <c r="D2" s="297"/>
      <c r="E2" s="297"/>
      <c r="F2" s="297"/>
      <c r="G2" s="297"/>
      <c r="H2" s="297"/>
      <c r="I2" s="297"/>
    </row>
    <row r="3" spans="1:9" ht="9.75" customHeight="1" x14ac:dyDescent="0.25">
      <c r="A3" s="125"/>
      <c r="B3" s="126"/>
      <c r="C3" s="126"/>
      <c r="D3" s="126"/>
      <c r="E3" s="126"/>
      <c r="F3" s="126"/>
      <c r="G3" s="170"/>
      <c r="H3" s="127"/>
      <c r="I3" s="127"/>
    </row>
    <row r="4" spans="1:9" ht="27.6" x14ac:dyDescent="0.35">
      <c r="A4" s="171" t="s">
        <v>223</v>
      </c>
      <c r="B4" s="143" t="s">
        <v>476</v>
      </c>
      <c r="C4" s="172" t="s">
        <v>477</v>
      </c>
      <c r="D4" s="172" t="s">
        <v>226</v>
      </c>
      <c r="E4" s="172" t="s">
        <v>478</v>
      </c>
      <c r="F4" s="173" t="s">
        <v>292</v>
      </c>
      <c r="G4" s="174"/>
      <c r="H4" s="343" t="s">
        <v>536</v>
      </c>
      <c r="I4" s="330"/>
    </row>
    <row r="5" spans="1:9" ht="13.2" x14ac:dyDescent="0.25">
      <c r="A5" s="32" t="s">
        <v>537</v>
      </c>
      <c r="B5" s="6" t="s">
        <v>538</v>
      </c>
      <c r="C5" s="32" t="s">
        <v>482</v>
      </c>
      <c r="D5" s="6"/>
      <c r="E5" s="6"/>
      <c r="F5" s="166"/>
      <c r="G5" s="175"/>
      <c r="H5" s="344" t="s">
        <v>539</v>
      </c>
      <c r="I5" s="319"/>
    </row>
    <row r="6" spans="1:9" ht="13.2" x14ac:dyDescent="0.25">
      <c r="A6" s="32" t="s">
        <v>537</v>
      </c>
      <c r="B6" s="6" t="s">
        <v>540</v>
      </c>
      <c r="C6" s="32" t="s">
        <v>482</v>
      </c>
      <c r="D6" s="6"/>
      <c r="E6" s="6"/>
      <c r="F6" s="166"/>
      <c r="G6" s="175"/>
      <c r="H6" s="320"/>
      <c r="I6" s="321"/>
    </row>
    <row r="7" spans="1:9" ht="13.2" x14ac:dyDescent="0.25">
      <c r="A7" s="32" t="s">
        <v>537</v>
      </c>
      <c r="B7" s="6" t="s">
        <v>541</v>
      </c>
      <c r="C7" s="32" t="s">
        <v>482</v>
      </c>
      <c r="D7" s="6"/>
      <c r="E7" s="6"/>
      <c r="F7" s="166"/>
      <c r="G7" s="175"/>
      <c r="H7" s="320"/>
      <c r="I7" s="321"/>
    </row>
    <row r="8" spans="1:9" ht="13.2" x14ac:dyDescent="0.25">
      <c r="A8" s="32" t="s">
        <v>537</v>
      </c>
      <c r="B8" s="6" t="s">
        <v>542</v>
      </c>
      <c r="C8" s="32" t="s">
        <v>482</v>
      </c>
      <c r="D8" s="6"/>
      <c r="E8" s="6"/>
      <c r="F8" s="166"/>
      <c r="G8" s="175"/>
      <c r="H8" s="320"/>
      <c r="I8" s="321"/>
    </row>
    <row r="9" spans="1:9" ht="13.2" x14ac:dyDescent="0.25">
      <c r="A9" s="165" t="s">
        <v>537</v>
      </c>
      <c r="B9" s="6" t="s">
        <v>543</v>
      </c>
      <c r="C9" s="32" t="s">
        <v>493</v>
      </c>
      <c r="D9" s="6"/>
      <c r="E9" s="6"/>
      <c r="F9" s="166"/>
      <c r="G9" s="175"/>
      <c r="H9" s="320"/>
      <c r="I9" s="321"/>
    </row>
    <row r="10" spans="1:9" ht="26.4" x14ac:dyDescent="0.25">
      <c r="A10" s="165" t="s">
        <v>68</v>
      </c>
      <c r="B10" s="6" t="s">
        <v>544</v>
      </c>
      <c r="C10" s="32" t="s">
        <v>493</v>
      </c>
      <c r="D10" s="6"/>
      <c r="E10" s="6"/>
      <c r="F10" s="166"/>
      <c r="G10" s="175"/>
      <c r="H10" s="320"/>
      <c r="I10" s="321"/>
    </row>
    <row r="11" spans="1:9" ht="13.2" x14ac:dyDescent="0.25">
      <c r="A11" s="165" t="s">
        <v>68</v>
      </c>
      <c r="B11" s="32" t="s">
        <v>545</v>
      </c>
      <c r="C11" s="32" t="s">
        <v>482</v>
      </c>
      <c r="D11" s="6"/>
      <c r="E11" s="6"/>
      <c r="F11" s="166"/>
      <c r="G11" s="175"/>
      <c r="H11" s="320"/>
      <c r="I11" s="321"/>
    </row>
    <row r="12" spans="1:9" ht="13.2" x14ac:dyDescent="0.25">
      <c r="A12" s="165" t="s">
        <v>68</v>
      </c>
      <c r="B12" s="32" t="s">
        <v>546</v>
      </c>
      <c r="C12" s="32" t="s">
        <v>482</v>
      </c>
      <c r="D12" s="6"/>
      <c r="E12" s="6"/>
      <c r="F12" s="166"/>
      <c r="G12" s="175"/>
      <c r="H12" s="320"/>
      <c r="I12" s="321"/>
    </row>
    <row r="13" spans="1:9" ht="13.2" x14ac:dyDescent="0.25">
      <c r="A13" s="165" t="s">
        <v>68</v>
      </c>
      <c r="B13" s="32" t="s">
        <v>547</v>
      </c>
      <c r="C13" s="32" t="s">
        <v>482</v>
      </c>
      <c r="D13" s="6"/>
      <c r="E13" s="6"/>
      <c r="F13" s="166"/>
      <c r="G13" s="175"/>
      <c r="H13" s="334"/>
      <c r="I13" s="335"/>
    </row>
    <row r="14" spans="1:9" ht="13.2" x14ac:dyDescent="0.25">
      <c r="A14" s="165" t="s">
        <v>68</v>
      </c>
      <c r="B14" s="32" t="s">
        <v>548</v>
      </c>
      <c r="C14" s="32" t="s">
        <v>482</v>
      </c>
      <c r="D14" s="6"/>
      <c r="E14" s="6"/>
      <c r="F14" s="166"/>
      <c r="G14" s="174"/>
      <c r="H14" s="125"/>
      <c r="I14" s="125"/>
    </row>
    <row r="15" spans="1:9" ht="13.2" x14ac:dyDescent="0.25">
      <c r="A15" s="165" t="s">
        <v>68</v>
      </c>
      <c r="B15" s="6" t="s">
        <v>549</v>
      </c>
      <c r="C15" s="32" t="s">
        <v>482</v>
      </c>
      <c r="D15" s="6"/>
      <c r="E15" s="6"/>
      <c r="F15" s="166"/>
      <c r="G15" s="174"/>
      <c r="H15" s="125"/>
      <c r="I15" s="125"/>
    </row>
    <row r="16" spans="1:9" ht="39.6" x14ac:dyDescent="0.25">
      <c r="A16" s="165" t="s">
        <v>68</v>
      </c>
      <c r="B16" s="6" t="s">
        <v>550</v>
      </c>
      <c r="C16" s="32" t="s">
        <v>482</v>
      </c>
      <c r="D16" s="6"/>
      <c r="E16" s="6"/>
      <c r="F16" s="166"/>
      <c r="G16" s="174"/>
      <c r="H16" s="125"/>
      <c r="I16" s="125"/>
    </row>
    <row r="17" spans="1:9" ht="13.2" x14ac:dyDescent="0.25">
      <c r="A17" s="165" t="s">
        <v>551</v>
      </c>
      <c r="B17" s="32" t="s">
        <v>552</v>
      </c>
      <c r="C17" s="32" t="s">
        <v>482</v>
      </c>
      <c r="D17" s="6"/>
      <c r="E17" s="6"/>
      <c r="F17" s="166"/>
      <c r="G17" s="174"/>
      <c r="H17" s="125"/>
      <c r="I17" s="125"/>
    </row>
    <row r="18" spans="1:9" ht="13.2" x14ac:dyDescent="0.25">
      <c r="A18" s="165" t="s">
        <v>551</v>
      </c>
      <c r="B18" s="32" t="s">
        <v>553</v>
      </c>
      <c r="C18" s="32" t="s">
        <v>482</v>
      </c>
      <c r="D18" s="6"/>
      <c r="E18" s="6"/>
      <c r="F18" s="166"/>
      <c r="G18" s="174"/>
      <c r="H18" s="125"/>
      <c r="I18" s="125"/>
    </row>
    <row r="19" spans="1:9" ht="13.2" x14ac:dyDescent="0.25">
      <c r="A19" s="32" t="s">
        <v>551</v>
      </c>
      <c r="B19" s="6" t="s">
        <v>554</v>
      </c>
      <c r="C19" s="32" t="s">
        <v>482</v>
      </c>
      <c r="D19" s="6"/>
      <c r="E19" s="6"/>
      <c r="F19" s="166"/>
      <c r="G19" s="174"/>
      <c r="H19" s="125"/>
      <c r="I19" s="125"/>
    </row>
    <row r="20" spans="1:9" ht="13.2" x14ac:dyDescent="0.25">
      <c r="A20" s="165" t="s">
        <v>513</v>
      </c>
      <c r="B20" s="32" t="s">
        <v>555</v>
      </c>
      <c r="C20" s="32" t="s">
        <v>482</v>
      </c>
      <c r="D20" s="6"/>
      <c r="E20" s="6"/>
      <c r="F20" s="166"/>
      <c r="G20" s="174"/>
      <c r="H20" s="125"/>
      <c r="I20" s="125"/>
    </row>
    <row r="21" spans="1:9" ht="13.2" x14ac:dyDescent="0.25">
      <c r="A21" s="165" t="s">
        <v>513</v>
      </c>
      <c r="B21" s="32" t="s">
        <v>556</v>
      </c>
      <c r="C21" s="32" t="s">
        <v>482</v>
      </c>
      <c r="D21" s="6"/>
      <c r="E21" s="6"/>
      <c r="F21" s="166"/>
      <c r="G21" s="174"/>
      <c r="H21" s="125"/>
      <c r="I21" s="125"/>
    </row>
    <row r="22" spans="1:9" ht="13.2" x14ac:dyDescent="0.25">
      <c r="A22" s="165" t="s">
        <v>513</v>
      </c>
      <c r="B22" s="32" t="s">
        <v>557</v>
      </c>
      <c r="C22" s="32" t="s">
        <v>482</v>
      </c>
      <c r="D22" s="6"/>
      <c r="E22" s="6"/>
      <c r="F22" s="166"/>
      <c r="G22" s="174"/>
      <c r="H22" s="125"/>
      <c r="I22" s="125"/>
    </row>
    <row r="23" spans="1:9" ht="13.2" x14ac:dyDescent="0.25">
      <c r="A23" s="165" t="s">
        <v>513</v>
      </c>
      <c r="B23" s="32" t="s">
        <v>558</v>
      </c>
      <c r="C23" s="32" t="s">
        <v>482</v>
      </c>
      <c r="D23" s="6"/>
      <c r="E23" s="6"/>
      <c r="F23" s="166"/>
      <c r="G23" s="174"/>
      <c r="H23" s="125"/>
      <c r="I23" s="125"/>
    </row>
    <row r="24" spans="1:9" ht="13.2" x14ac:dyDescent="0.25">
      <c r="A24" s="165" t="s">
        <v>513</v>
      </c>
      <c r="B24" s="32" t="s">
        <v>559</v>
      </c>
      <c r="C24" s="32" t="s">
        <v>482</v>
      </c>
      <c r="D24" s="6"/>
      <c r="E24" s="6"/>
      <c r="F24" s="166"/>
      <c r="G24" s="174"/>
      <c r="H24" s="125"/>
      <c r="I24" s="125"/>
    </row>
    <row r="25" spans="1:9" ht="13.2" x14ac:dyDescent="0.25">
      <c r="A25" s="165" t="s">
        <v>513</v>
      </c>
      <c r="B25" s="32" t="s">
        <v>560</v>
      </c>
      <c r="C25" s="32" t="s">
        <v>482</v>
      </c>
      <c r="D25" s="6"/>
      <c r="E25" s="6"/>
      <c r="F25" s="166"/>
      <c r="G25" s="174"/>
      <c r="H25" s="125"/>
      <c r="I25" s="125"/>
    </row>
    <row r="26" spans="1:9" ht="13.2" x14ac:dyDescent="0.25">
      <c r="A26" s="165" t="s">
        <v>513</v>
      </c>
      <c r="B26" s="32" t="s">
        <v>561</v>
      </c>
      <c r="C26" s="32" t="s">
        <v>482</v>
      </c>
      <c r="D26" s="6"/>
      <c r="E26" s="6"/>
      <c r="F26" s="166"/>
      <c r="G26" s="174"/>
      <c r="H26" s="125"/>
      <c r="I26" s="125"/>
    </row>
    <row r="27" spans="1:9" ht="13.2" x14ac:dyDescent="0.25">
      <c r="A27" s="165" t="s">
        <v>513</v>
      </c>
      <c r="B27" s="32" t="s">
        <v>562</v>
      </c>
      <c r="C27" s="32" t="s">
        <v>493</v>
      </c>
      <c r="D27" s="6"/>
      <c r="E27" s="6"/>
      <c r="F27" s="166"/>
      <c r="G27" s="174"/>
      <c r="H27" s="125"/>
      <c r="I27" s="125"/>
    </row>
    <row r="28" spans="1:9" ht="13.2" x14ac:dyDescent="0.25">
      <c r="A28" s="165" t="s">
        <v>513</v>
      </c>
      <c r="B28" s="6" t="s">
        <v>563</v>
      </c>
      <c r="C28" s="32" t="s">
        <v>482</v>
      </c>
      <c r="D28" s="6"/>
      <c r="E28" s="6"/>
      <c r="F28" s="166"/>
      <c r="G28" s="174"/>
      <c r="H28" s="125"/>
      <c r="I28" s="125"/>
    </row>
    <row r="29" spans="1:9" ht="13.2" x14ac:dyDescent="0.25">
      <c r="A29" s="165" t="s">
        <v>564</v>
      </c>
      <c r="B29" s="32" t="s">
        <v>565</v>
      </c>
      <c r="C29" s="32" t="s">
        <v>493</v>
      </c>
      <c r="D29" s="6"/>
      <c r="E29" s="6"/>
      <c r="F29" s="166"/>
      <c r="G29" s="174"/>
      <c r="H29" s="125"/>
      <c r="I29" s="125"/>
    </row>
    <row r="30" spans="1:9" ht="26.4" x14ac:dyDescent="0.25">
      <c r="A30" s="165" t="s">
        <v>564</v>
      </c>
      <c r="B30" s="32" t="s">
        <v>566</v>
      </c>
      <c r="C30" s="32" t="s">
        <v>493</v>
      </c>
      <c r="D30" s="6" t="s">
        <v>567</v>
      </c>
      <c r="E30" s="6"/>
      <c r="F30" s="166"/>
      <c r="G30" s="174"/>
      <c r="H30" s="125"/>
      <c r="I30" s="125"/>
    </row>
    <row r="31" spans="1:9" ht="26.4" x14ac:dyDescent="0.25">
      <c r="A31" s="165" t="s">
        <v>522</v>
      </c>
      <c r="B31" s="32" t="s">
        <v>568</v>
      </c>
      <c r="C31" s="32" t="s">
        <v>482</v>
      </c>
      <c r="D31" s="6" t="s">
        <v>569</v>
      </c>
      <c r="E31" s="6"/>
      <c r="F31" s="166"/>
      <c r="G31" s="174"/>
      <c r="H31" s="125"/>
      <c r="I31" s="125"/>
    </row>
    <row r="32" spans="1:9" ht="13.2" x14ac:dyDescent="0.25">
      <c r="A32" s="165" t="s">
        <v>522</v>
      </c>
      <c r="B32" s="32" t="s">
        <v>570</v>
      </c>
      <c r="C32" s="32" t="s">
        <v>493</v>
      </c>
      <c r="D32" s="6"/>
      <c r="E32" s="6"/>
      <c r="F32" s="166"/>
      <c r="G32" s="174"/>
      <c r="H32" s="125"/>
      <c r="I32" s="125"/>
    </row>
    <row r="33" spans="1:9" ht="13.2" x14ac:dyDescent="0.25">
      <c r="A33" s="165" t="s">
        <v>522</v>
      </c>
      <c r="B33" s="32" t="s">
        <v>571</v>
      </c>
      <c r="C33" s="32" t="s">
        <v>482</v>
      </c>
      <c r="D33" s="6"/>
      <c r="E33" s="6"/>
      <c r="F33" s="166"/>
      <c r="G33" s="174"/>
      <c r="H33" s="125"/>
      <c r="I33" s="125"/>
    </row>
    <row r="34" spans="1:9" ht="13.2" x14ac:dyDescent="0.25">
      <c r="A34" s="165" t="s">
        <v>522</v>
      </c>
      <c r="B34" s="32" t="s">
        <v>572</v>
      </c>
      <c r="C34" s="32" t="s">
        <v>482</v>
      </c>
      <c r="D34" s="6"/>
      <c r="E34" s="6"/>
      <c r="F34" s="166"/>
      <c r="G34" s="174"/>
      <c r="H34" s="125"/>
      <c r="I34" s="125"/>
    </row>
    <row r="35" spans="1:9" ht="13.2" x14ac:dyDescent="0.25">
      <c r="A35" s="165" t="s">
        <v>522</v>
      </c>
      <c r="B35" s="32" t="s">
        <v>573</v>
      </c>
      <c r="C35" s="32" t="s">
        <v>482</v>
      </c>
      <c r="D35" s="6"/>
      <c r="E35" s="6"/>
      <c r="F35" s="166"/>
      <c r="G35" s="174"/>
      <c r="H35" s="125"/>
      <c r="I35" s="125"/>
    </row>
    <row r="36" spans="1:9" ht="13.2" x14ac:dyDescent="0.25">
      <c r="A36" s="32" t="s">
        <v>522</v>
      </c>
      <c r="B36" s="32" t="s">
        <v>574</v>
      </c>
      <c r="C36" s="32" t="s">
        <v>482</v>
      </c>
      <c r="D36" s="6"/>
      <c r="E36" s="6"/>
      <c r="F36" s="166"/>
      <c r="G36" s="174"/>
      <c r="H36" s="125"/>
      <c r="I36" s="125"/>
    </row>
    <row r="37" spans="1:9" ht="13.2" x14ac:dyDescent="0.25">
      <c r="A37" s="32" t="s">
        <v>522</v>
      </c>
      <c r="B37" s="32" t="s">
        <v>575</v>
      </c>
      <c r="C37" s="32" t="s">
        <v>482</v>
      </c>
      <c r="D37" s="6"/>
      <c r="E37" s="6"/>
      <c r="F37" s="166"/>
      <c r="G37" s="174"/>
      <c r="H37" s="125"/>
      <c r="I37" s="125"/>
    </row>
    <row r="38" spans="1:9" ht="13.2" x14ac:dyDescent="0.25">
      <c r="A38" s="32" t="s">
        <v>522</v>
      </c>
      <c r="B38" s="32" t="s">
        <v>576</v>
      </c>
      <c r="C38" s="32" t="s">
        <v>482</v>
      </c>
      <c r="D38" s="6"/>
      <c r="E38" s="6"/>
      <c r="F38" s="166"/>
      <c r="G38" s="174"/>
      <c r="H38" s="125"/>
      <c r="I38" s="125"/>
    </row>
    <row r="39" spans="1:9" ht="13.2" x14ac:dyDescent="0.25">
      <c r="A39" s="32" t="s">
        <v>522</v>
      </c>
      <c r="B39" s="32" t="s">
        <v>577</v>
      </c>
      <c r="C39" s="32" t="s">
        <v>482</v>
      </c>
      <c r="D39" s="6"/>
      <c r="E39" s="6"/>
      <c r="F39" s="166"/>
      <c r="G39" s="174"/>
      <c r="H39" s="125"/>
      <c r="I39" s="125"/>
    </row>
    <row r="40" spans="1:9" ht="13.2" x14ac:dyDescent="0.25">
      <c r="A40" s="32" t="s">
        <v>522</v>
      </c>
      <c r="B40" s="32" t="s">
        <v>578</v>
      </c>
      <c r="C40" s="32" t="s">
        <v>482</v>
      </c>
      <c r="D40" s="6"/>
      <c r="E40" s="6"/>
      <c r="F40" s="166"/>
      <c r="G40" s="174"/>
      <c r="H40" s="125"/>
      <c r="I40" s="125"/>
    </row>
    <row r="41" spans="1:9" ht="39.6" x14ac:dyDescent="0.25">
      <c r="A41" s="32" t="s">
        <v>522</v>
      </c>
      <c r="B41" s="6" t="s">
        <v>579</v>
      </c>
      <c r="C41" s="32" t="s">
        <v>482</v>
      </c>
      <c r="D41" s="6"/>
      <c r="E41" s="6"/>
      <c r="F41" s="166"/>
      <c r="G41" s="174"/>
      <c r="H41" s="125"/>
      <c r="I41" s="125"/>
    </row>
    <row r="42" spans="1:9" ht="13.2" x14ac:dyDescent="0.25">
      <c r="A42" s="32" t="s">
        <v>522</v>
      </c>
      <c r="B42" s="32" t="s">
        <v>580</v>
      </c>
      <c r="C42" s="32" t="s">
        <v>482</v>
      </c>
      <c r="D42" s="6"/>
      <c r="E42" s="6"/>
      <c r="F42" s="166"/>
      <c r="G42" s="174"/>
      <c r="H42" s="125"/>
      <c r="I42" s="125"/>
    </row>
    <row r="43" spans="1:9" ht="13.2" x14ac:dyDescent="0.25">
      <c r="A43" s="32" t="s">
        <v>522</v>
      </c>
      <c r="B43" s="32" t="s">
        <v>581</v>
      </c>
      <c r="C43" s="32" t="s">
        <v>482</v>
      </c>
      <c r="D43" s="6"/>
      <c r="E43" s="6"/>
      <c r="F43" s="166"/>
      <c r="G43" s="174"/>
      <c r="H43" s="125"/>
      <c r="I43" s="125"/>
    </row>
    <row r="44" spans="1:9" ht="13.2" x14ac:dyDescent="0.25">
      <c r="A44" s="32" t="s">
        <v>522</v>
      </c>
      <c r="B44" s="32" t="s">
        <v>582</v>
      </c>
      <c r="C44" s="32" t="s">
        <v>482</v>
      </c>
      <c r="D44" s="6"/>
      <c r="E44" s="6"/>
      <c r="F44" s="166"/>
      <c r="G44" s="174"/>
      <c r="H44" s="125"/>
      <c r="I44" s="125"/>
    </row>
    <row r="45" spans="1:9" ht="13.2" x14ac:dyDescent="0.25">
      <c r="A45" s="32" t="s">
        <v>522</v>
      </c>
      <c r="B45" s="6" t="s">
        <v>583</v>
      </c>
      <c r="C45" s="32" t="s">
        <v>482</v>
      </c>
      <c r="D45" s="6"/>
      <c r="E45" s="6"/>
      <c r="F45" s="166"/>
      <c r="G45" s="174"/>
      <c r="H45" s="125"/>
      <c r="I45" s="125"/>
    </row>
    <row r="46" spans="1:9" ht="13.2" x14ac:dyDescent="0.25">
      <c r="A46" s="32" t="s">
        <v>522</v>
      </c>
      <c r="B46" s="6" t="s">
        <v>584</v>
      </c>
      <c r="C46" s="32" t="s">
        <v>482</v>
      </c>
      <c r="D46" s="6"/>
      <c r="E46" s="6"/>
      <c r="F46" s="166"/>
      <c r="G46" s="174"/>
      <c r="H46" s="125"/>
      <c r="I46" s="125"/>
    </row>
    <row r="47" spans="1:9" ht="13.2" x14ac:dyDescent="0.25">
      <c r="A47" s="32" t="s">
        <v>522</v>
      </c>
      <c r="B47" s="6" t="s">
        <v>585</v>
      </c>
      <c r="C47" s="32" t="s">
        <v>482</v>
      </c>
      <c r="D47" s="6"/>
      <c r="E47" s="6"/>
      <c r="F47" s="166"/>
      <c r="G47" s="174"/>
      <c r="H47" s="125"/>
      <c r="I47" s="125"/>
    </row>
    <row r="48" spans="1:9" ht="13.2" x14ac:dyDescent="0.25">
      <c r="A48" s="32" t="s">
        <v>522</v>
      </c>
      <c r="B48" s="6" t="s">
        <v>585</v>
      </c>
      <c r="C48" s="32" t="s">
        <v>482</v>
      </c>
      <c r="D48" s="6"/>
      <c r="E48" s="6"/>
      <c r="F48" s="166"/>
      <c r="G48" s="174"/>
      <c r="H48" s="125"/>
      <c r="I48" s="125"/>
    </row>
    <row r="49" spans="1:9" ht="13.2" x14ac:dyDescent="0.25">
      <c r="A49" s="32" t="s">
        <v>522</v>
      </c>
      <c r="B49" s="6" t="s">
        <v>585</v>
      </c>
      <c r="C49" s="32" t="s">
        <v>482</v>
      </c>
      <c r="D49" s="6"/>
      <c r="E49" s="6"/>
      <c r="F49" s="166"/>
      <c r="G49" s="174"/>
      <c r="H49" s="125"/>
      <c r="I49" s="125"/>
    </row>
    <row r="50" spans="1:9" ht="13.2" x14ac:dyDescent="0.25">
      <c r="A50" s="32" t="s">
        <v>522</v>
      </c>
      <c r="B50" s="6" t="s">
        <v>585</v>
      </c>
      <c r="C50" s="32" t="s">
        <v>482</v>
      </c>
      <c r="D50" s="6"/>
      <c r="E50" s="6"/>
      <c r="F50" s="166"/>
      <c r="G50" s="174"/>
      <c r="H50" s="125"/>
      <c r="I50" s="125"/>
    </row>
  </sheetData>
  <autoFilter ref="A4:F50" xr:uid="{00000000-0009-0000-0000-000008000000}">
    <sortState xmlns:xlrd2="http://schemas.microsoft.com/office/spreadsheetml/2017/richdata2" ref="A4:F50">
      <sortCondition ref="A4:A50"/>
    </sortState>
  </autoFilter>
  <mergeCells count="4">
    <mergeCell ref="A1:I1"/>
    <mergeCell ref="A2:I2"/>
    <mergeCell ref="H4:I4"/>
    <mergeCell ref="H5:I13"/>
  </mergeCells>
  <dataValidations count="2">
    <dataValidation type="list" allowBlank="1" showErrorMessage="1" sqref="F5:F50" xr:uid="{00000000-0002-0000-0800-000000000000}">
      <formula1>"Not started,In Progress,Blocked,Complete,Ask for clarification"</formula1>
    </dataValidation>
    <dataValidation type="custom" allowBlank="1" showDropDown="1" sqref="E5:E50" xr:uid="{00000000-0002-0000-0800-000001000000}">
      <formula1>OR(NOT(ISERROR(DATEVALUE(E5))), AND(ISNUMBER(E5), LEFT(CELL("format", E5))="D"))</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showGridLines="0" workbookViewId="0"/>
  </sheetViews>
  <sheetFormatPr defaultColWidth="12.6640625" defaultRowHeight="15.75" customHeight="1" x14ac:dyDescent="0.25"/>
  <cols>
    <col min="1" max="1" width="6.44140625" customWidth="1"/>
    <col min="2" max="2" width="29.21875" customWidth="1"/>
    <col min="3" max="3" width="11.44140625" customWidth="1"/>
    <col min="4" max="15" width="10.33203125" customWidth="1"/>
    <col min="16" max="26" width="6.44140625" customWidth="1"/>
  </cols>
  <sheetData>
    <row r="1" spans="1:26" ht="9.75" customHeight="1" x14ac:dyDescent="0.25">
      <c r="A1" s="176"/>
      <c r="B1" s="176"/>
      <c r="C1" s="176"/>
      <c r="D1" s="176"/>
      <c r="E1" s="176"/>
      <c r="F1" s="176"/>
      <c r="G1" s="176"/>
      <c r="H1" s="176"/>
      <c r="I1" s="176"/>
      <c r="J1" s="176"/>
      <c r="K1" s="176"/>
      <c r="L1" s="176"/>
      <c r="M1" s="176"/>
      <c r="N1" s="176"/>
      <c r="O1" s="176"/>
      <c r="P1" s="176"/>
      <c r="Q1" s="176"/>
      <c r="R1" s="176"/>
      <c r="S1" s="176"/>
      <c r="T1" s="176"/>
      <c r="U1" s="176"/>
      <c r="V1" s="176"/>
      <c r="W1" s="176"/>
      <c r="X1" s="176"/>
      <c r="Y1" s="176"/>
      <c r="Z1" s="176"/>
    </row>
    <row r="2" spans="1:26" ht="26.25" customHeight="1" x14ac:dyDescent="0.55000000000000004">
      <c r="A2" s="176"/>
      <c r="B2" s="177" t="s">
        <v>586</v>
      </c>
      <c r="C2" s="176"/>
      <c r="D2" s="176"/>
      <c r="E2" s="176"/>
      <c r="F2" s="176"/>
      <c r="G2" s="176"/>
      <c r="H2" s="176"/>
      <c r="I2" s="176"/>
      <c r="J2" s="176"/>
      <c r="K2" s="176"/>
      <c r="L2" s="176"/>
      <c r="M2" s="176"/>
      <c r="N2" s="176"/>
      <c r="O2" s="176"/>
      <c r="P2" s="176"/>
      <c r="Q2" s="176"/>
      <c r="R2" s="176"/>
      <c r="S2" s="176"/>
      <c r="T2" s="176"/>
      <c r="U2" s="176"/>
      <c r="V2" s="176"/>
      <c r="W2" s="176"/>
      <c r="X2" s="176"/>
      <c r="Y2" s="176"/>
      <c r="Z2" s="176"/>
    </row>
    <row r="3" spans="1:26" ht="26.25" customHeight="1" x14ac:dyDescent="0.55000000000000004">
      <c r="A3" s="176"/>
      <c r="B3" s="177" t="s">
        <v>587</v>
      </c>
      <c r="C3" s="176"/>
      <c r="D3" s="176"/>
      <c r="E3" s="176"/>
      <c r="F3" s="176"/>
      <c r="G3" s="176"/>
      <c r="H3" s="176"/>
      <c r="I3" s="176"/>
      <c r="J3" s="176"/>
      <c r="K3" s="176"/>
      <c r="L3" s="176"/>
      <c r="M3" s="176"/>
      <c r="N3" s="176"/>
      <c r="O3" s="176"/>
      <c r="P3" s="176"/>
      <c r="Q3" s="176"/>
      <c r="R3" s="176"/>
      <c r="S3" s="176"/>
      <c r="T3" s="176"/>
      <c r="U3" s="176"/>
      <c r="V3" s="176"/>
      <c r="W3" s="176"/>
      <c r="X3" s="176"/>
      <c r="Y3" s="176"/>
      <c r="Z3" s="176"/>
    </row>
    <row r="4" spans="1:26" ht="16.5" customHeight="1" x14ac:dyDescent="0.25">
      <c r="A4" s="176"/>
      <c r="B4" s="178"/>
      <c r="C4" s="179" t="s">
        <v>588</v>
      </c>
      <c r="D4" s="180" t="s">
        <v>589</v>
      </c>
      <c r="E4" s="181" t="s">
        <v>590</v>
      </c>
      <c r="F4" s="181" t="s">
        <v>591</v>
      </c>
      <c r="G4" s="181" t="s">
        <v>592</v>
      </c>
      <c r="H4" s="181" t="s">
        <v>593</v>
      </c>
      <c r="I4" s="181" t="s">
        <v>594</v>
      </c>
      <c r="J4" s="181" t="s">
        <v>595</v>
      </c>
      <c r="K4" s="181" t="s">
        <v>596</v>
      </c>
      <c r="L4" s="181" t="s">
        <v>597</v>
      </c>
      <c r="M4" s="181" t="s">
        <v>598</v>
      </c>
      <c r="N4" s="182" t="s">
        <v>599</v>
      </c>
      <c r="O4" s="183" t="s">
        <v>600</v>
      </c>
      <c r="P4" s="176"/>
      <c r="Q4" s="176"/>
      <c r="R4" s="176"/>
      <c r="S4" s="176"/>
      <c r="T4" s="176"/>
      <c r="U4" s="176"/>
      <c r="V4" s="176"/>
      <c r="W4" s="176"/>
      <c r="X4" s="176"/>
      <c r="Y4" s="176"/>
      <c r="Z4" s="176"/>
    </row>
    <row r="5" spans="1:26" ht="14.25" customHeight="1" x14ac:dyDescent="0.25">
      <c r="A5" s="176"/>
      <c r="B5" s="184"/>
      <c r="C5" s="185">
        <v>45240</v>
      </c>
      <c r="D5" s="186">
        <f t="shared" ref="D5:O5" si="0">C5+7</f>
        <v>45247</v>
      </c>
      <c r="E5" s="186">
        <f t="shared" si="0"/>
        <v>45254</v>
      </c>
      <c r="F5" s="186">
        <f t="shared" si="0"/>
        <v>45261</v>
      </c>
      <c r="G5" s="186">
        <f t="shared" si="0"/>
        <v>45268</v>
      </c>
      <c r="H5" s="186">
        <f t="shared" si="0"/>
        <v>45275</v>
      </c>
      <c r="I5" s="186">
        <f t="shared" si="0"/>
        <v>45282</v>
      </c>
      <c r="J5" s="186">
        <f t="shared" si="0"/>
        <v>45289</v>
      </c>
      <c r="K5" s="186">
        <f t="shared" si="0"/>
        <v>45296</v>
      </c>
      <c r="L5" s="186">
        <f t="shared" si="0"/>
        <v>45303</v>
      </c>
      <c r="M5" s="186">
        <f t="shared" si="0"/>
        <v>45310</v>
      </c>
      <c r="N5" s="186">
        <f t="shared" si="0"/>
        <v>45317</v>
      </c>
      <c r="O5" s="187">
        <f t="shared" si="0"/>
        <v>45324</v>
      </c>
      <c r="P5" s="176"/>
      <c r="Q5" s="176"/>
      <c r="R5" s="176"/>
      <c r="S5" s="176"/>
      <c r="T5" s="176"/>
      <c r="U5" s="176"/>
      <c r="V5" s="176"/>
      <c r="W5" s="176"/>
      <c r="X5" s="176"/>
      <c r="Y5" s="176"/>
      <c r="Z5" s="176"/>
    </row>
    <row r="6" spans="1:26" ht="15" customHeight="1" x14ac:dyDescent="0.25">
      <c r="A6" s="176"/>
      <c r="B6" s="188"/>
      <c r="C6" s="189" t="s">
        <v>601</v>
      </c>
      <c r="D6" s="190" t="s">
        <v>601</v>
      </c>
      <c r="E6" s="191" t="s">
        <v>601</v>
      </c>
      <c r="F6" s="191" t="s">
        <v>601</v>
      </c>
      <c r="G6" s="191" t="s">
        <v>601</v>
      </c>
      <c r="H6" s="191" t="s">
        <v>601</v>
      </c>
      <c r="I6" s="191" t="s">
        <v>601</v>
      </c>
      <c r="J6" s="191" t="s">
        <v>601</v>
      </c>
      <c r="K6" s="191" t="s">
        <v>601</v>
      </c>
      <c r="L6" s="191" t="s">
        <v>601</v>
      </c>
      <c r="M6" s="191" t="s">
        <v>601</v>
      </c>
      <c r="N6" s="192" t="s">
        <v>601</v>
      </c>
      <c r="O6" s="193" t="s">
        <v>601</v>
      </c>
      <c r="P6" s="176"/>
      <c r="Q6" s="176"/>
      <c r="R6" s="176"/>
      <c r="S6" s="176"/>
      <c r="T6" s="176"/>
      <c r="U6" s="176"/>
      <c r="V6" s="176"/>
      <c r="W6" s="176"/>
      <c r="X6" s="176"/>
      <c r="Y6" s="176"/>
      <c r="Z6" s="176"/>
    </row>
    <row r="7" spans="1:26" ht="19.5" customHeight="1" x14ac:dyDescent="0.25">
      <c r="A7" s="176"/>
      <c r="B7" s="194" t="s">
        <v>602</v>
      </c>
      <c r="C7" s="195"/>
      <c r="D7" s="196">
        <f t="shared" ref="D7:O7" si="1">C53</f>
        <v>0</v>
      </c>
      <c r="E7" s="196">
        <f t="shared" si="1"/>
        <v>0</v>
      </c>
      <c r="F7" s="196">
        <f t="shared" si="1"/>
        <v>0</v>
      </c>
      <c r="G7" s="196">
        <f t="shared" si="1"/>
        <v>0</v>
      </c>
      <c r="H7" s="196">
        <f t="shared" si="1"/>
        <v>0</v>
      </c>
      <c r="I7" s="196">
        <f t="shared" si="1"/>
        <v>0</v>
      </c>
      <c r="J7" s="196">
        <f t="shared" si="1"/>
        <v>0</v>
      </c>
      <c r="K7" s="196">
        <f t="shared" si="1"/>
        <v>0</v>
      </c>
      <c r="L7" s="196">
        <f t="shared" si="1"/>
        <v>0</v>
      </c>
      <c r="M7" s="196">
        <f t="shared" si="1"/>
        <v>0</v>
      </c>
      <c r="N7" s="196">
        <f t="shared" si="1"/>
        <v>0</v>
      </c>
      <c r="O7" s="197">
        <f t="shared" si="1"/>
        <v>0</v>
      </c>
      <c r="P7" s="176"/>
      <c r="Q7" s="176"/>
      <c r="R7" s="176"/>
      <c r="S7" s="176"/>
      <c r="T7" s="176"/>
      <c r="U7" s="176"/>
      <c r="V7" s="176"/>
      <c r="W7" s="176"/>
      <c r="X7" s="176"/>
      <c r="Y7" s="176"/>
      <c r="Z7" s="176"/>
    </row>
    <row r="8" spans="1:26" ht="15.75" customHeight="1" x14ac:dyDescent="0.25">
      <c r="A8" s="176"/>
      <c r="B8" s="198" t="s">
        <v>603</v>
      </c>
      <c r="C8" s="199"/>
      <c r="D8" s="200"/>
      <c r="E8" s="200"/>
      <c r="F8" s="200"/>
      <c r="G8" s="200"/>
      <c r="H8" s="200"/>
      <c r="I8" s="200"/>
      <c r="J8" s="200"/>
      <c r="K8" s="200"/>
      <c r="L8" s="200"/>
      <c r="M8" s="200"/>
      <c r="N8" s="200"/>
      <c r="O8" s="200"/>
      <c r="P8" s="176"/>
      <c r="Q8" s="176"/>
      <c r="R8" s="176"/>
      <c r="S8" s="176"/>
      <c r="T8" s="176"/>
      <c r="U8" s="176"/>
      <c r="V8" s="176"/>
      <c r="W8" s="176"/>
      <c r="X8" s="176"/>
      <c r="Y8" s="176"/>
      <c r="Z8" s="176"/>
    </row>
    <row r="9" spans="1:26" ht="15.75" customHeight="1" x14ac:dyDescent="0.25">
      <c r="A9" s="176"/>
      <c r="B9" s="201" t="s">
        <v>604</v>
      </c>
      <c r="C9" s="202"/>
      <c r="D9" s="203"/>
      <c r="E9" s="203"/>
      <c r="F9" s="203"/>
      <c r="G9" s="203"/>
      <c r="H9" s="203"/>
      <c r="I9" s="203"/>
      <c r="J9" s="203"/>
      <c r="K9" s="203"/>
      <c r="L9" s="203"/>
      <c r="M9" s="203"/>
      <c r="N9" s="203"/>
      <c r="O9" s="203"/>
      <c r="P9" s="176"/>
      <c r="Q9" s="176"/>
      <c r="R9" s="176"/>
      <c r="S9" s="176"/>
      <c r="T9" s="176"/>
      <c r="U9" s="176"/>
      <c r="V9" s="176"/>
      <c r="W9" s="176"/>
      <c r="X9" s="176"/>
      <c r="Y9" s="176"/>
      <c r="Z9" s="176"/>
    </row>
    <row r="10" spans="1:26" ht="15.75" customHeight="1" x14ac:dyDescent="0.25">
      <c r="A10" s="176"/>
      <c r="B10" s="201" t="s">
        <v>605</v>
      </c>
      <c r="C10" s="202"/>
      <c r="D10" s="203"/>
      <c r="E10" s="203"/>
      <c r="F10" s="203"/>
      <c r="G10" s="203"/>
      <c r="H10" s="203"/>
      <c r="I10" s="203"/>
      <c r="J10" s="203"/>
      <c r="K10" s="203"/>
      <c r="L10" s="203"/>
      <c r="M10" s="203"/>
      <c r="N10" s="203"/>
      <c r="O10" s="203"/>
      <c r="P10" s="176"/>
      <c r="Q10" s="176"/>
      <c r="R10" s="176"/>
      <c r="S10" s="176"/>
      <c r="T10" s="176"/>
      <c r="U10" s="176"/>
      <c r="V10" s="176"/>
      <c r="W10" s="176"/>
      <c r="X10" s="176"/>
      <c r="Y10" s="176"/>
      <c r="Z10" s="176"/>
    </row>
    <row r="11" spans="1:26" ht="15.75" customHeight="1" x14ac:dyDescent="0.25">
      <c r="A11" s="176"/>
      <c r="B11" s="201" t="s">
        <v>606</v>
      </c>
      <c r="C11" s="202"/>
      <c r="D11" s="203"/>
      <c r="E11" s="203"/>
      <c r="F11" s="203"/>
      <c r="G11" s="203"/>
      <c r="H11" s="203"/>
      <c r="I11" s="203"/>
      <c r="J11" s="203"/>
      <c r="K11" s="203"/>
      <c r="L11" s="203"/>
      <c r="M11" s="203"/>
      <c r="N11" s="203"/>
      <c r="O11" s="203"/>
      <c r="P11" s="176"/>
      <c r="Q11" s="176"/>
      <c r="R11" s="176"/>
      <c r="S11" s="176"/>
      <c r="T11" s="176"/>
      <c r="U11" s="176"/>
      <c r="V11" s="176"/>
      <c r="W11" s="176"/>
      <c r="X11" s="176"/>
      <c r="Y11" s="176"/>
      <c r="Z11" s="176"/>
    </row>
    <row r="12" spans="1:26" ht="15.75" customHeight="1" x14ac:dyDescent="0.25">
      <c r="A12" s="176"/>
      <c r="B12" s="201" t="s">
        <v>607</v>
      </c>
      <c r="C12" s="202"/>
      <c r="D12" s="203"/>
      <c r="E12" s="203"/>
      <c r="F12" s="203"/>
      <c r="G12" s="203"/>
      <c r="H12" s="203"/>
      <c r="I12" s="203"/>
      <c r="J12" s="203"/>
      <c r="K12" s="203"/>
      <c r="L12" s="203"/>
      <c r="M12" s="203"/>
      <c r="N12" s="203"/>
      <c r="O12" s="203"/>
      <c r="P12" s="176"/>
      <c r="Q12" s="176"/>
      <c r="R12" s="176"/>
      <c r="S12" s="176"/>
      <c r="T12" s="176"/>
      <c r="U12" s="176"/>
      <c r="V12" s="176"/>
      <c r="W12" s="176"/>
      <c r="X12" s="176"/>
      <c r="Y12" s="176"/>
      <c r="Z12" s="176"/>
    </row>
    <row r="13" spans="1:26" ht="15.75" customHeight="1" x14ac:dyDescent="0.25">
      <c r="A13" s="176"/>
      <c r="B13" s="201" t="s">
        <v>608</v>
      </c>
      <c r="C13" s="202"/>
      <c r="D13" s="203"/>
      <c r="E13" s="203"/>
      <c r="F13" s="203"/>
      <c r="G13" s="203"/>
      <c r="H13" s="203"/>
      <c r="I13" s="203"/>
      <c r="J13" s="203"/>
      <c r="K13" s="203"/>
      <c r="L13" s="203"/>
      <c r="M13" s="203"/>
      <c r="N13" s="203"/>
      <c r="O13" s="203"/>
      <c r="P13" s="176"/>
      <c r="Q13" s="176"/>
      <c r="R13" s="176"/>
      <c r="S13" s="176"/>
      <c r="T13" s="176"/>
      <c r="U13" s="176"/>
      <c r="V13" s="176"/>
      <c r="W13" s="176"/>
      <c r="X13" s="176"/>
      <c r="Y13" s="176"/>
      <c r="Z13" s="176"/>
    </row>
    <row r="14" spans="1:26" ht="15.75" customHeight="1" x14ac:dyDescent="0.25">
      <c r="A14" s="176"/>
      <c r="B14" s="201" t="s">
        <v>609</v>
      </c>
      <c r="C14" s="202"/>
      <c r="D14" s="203"/>
      <c r="E14" s="203"/>
      <c r="F14" s="203"/>
      <c r="G14" s="203"/>
      <c r="H14" s="203"/>
      <c r="I14" s="203"/>
      <c r="J14" s="203"/>
      <c r="K14" s="203"/>
      <c r="L14" s="203"/>
      <c r="M14" s="203"/>
      <c r="N14" s="203"/>
      <c r="O14" s="203"/>
      <c r="P14" s="176"/>
      <c r="Q14" s="176"/>
      <c r="R14" s="176"/>
      <c r="S14" s="176"/>
      <c r="T14" s="176"/>
      <c r="U14" s="176"/>
      <c r="V14" s="176"/>
      <c r="W14" s="176"/>
      <c r="X14" s="176"/>
      <c r="Y14" s="176"/>
      <c r="Z14" s="176"/>
    </row>
    <row r="15" spans="1:26" ht="15.75" customHeight="1" x14ac:dyDescent="0.25">
      <c r="A15" s="176"/>
      <c r="B15" s="204" t="s">
        <v>610</v>
      </c>
      <c r="C15" s="205">
        <f t="shared" ref="C15:O15" si="2">SUM(C9,C11:C14,(C10*-1))</f>
        <v>0</v>
      </c>
      <c r="D15" s="205">
        <f t="shared" si="2"/>
        <v>0</v>
      </c>
      <c r="E15" s="205">
        <f t="shared" si="2"/>
        <v>0</v>
      </c>
      <c r="F15" s="205">
        <f t="shared" si="2"/>
        <v>0</v>
      </c>
      <c r="G15" s="205">
        <f t="shared" si="2"/>
        <v>0</v>
      </c>
      <c r="H15" s="205">
        <f t="shared" si="2"/>
        <v>0</v>
      </c>
      <c r="I15" s="205">
        <f t="shared" si="2"/>
        <v>0</v>
      </c>
      <c r="J15" s="205">
        <f t="shared" si="2"/>
        <v>0</v>
      </c>
      <c r="K15" s="205">
        <f t="shared" si="2"/>
        <v>0</v>
      </c>
      <c r="L15" s="205">
        <f t="shared" si="2"/>
        <v>0</v>
      </c>
      <c r="M15" s="205">
        <f t="shared" si="2"/>
        <v>0</v>
      </c>
      <c r="N15" s="205">
        <f t="shared" si="2"/>
        <v>0</v>
      </c>
      <c r="O15" s="205">
        <f t="shared" si="2"/>
        <v>0</v>
      </c>
      <c r="P15" s="176"/>
      <c r="Q15" s="176"/>
      <c r="R15" s="176"/>
      <c r="S15" s="176"/>
      <c r="T15" s="176"/>
      <c r="U15" s="176"/>
      <c r="V15" s="176"/>
      <c r="W15" s="176"/>
      <c r="X15" s="176"/>
      <c r="Y15" s="176"/>
      <c r="Z15" s="176"/>
    </row>
    <row r="16" spans="1:26" ht="15.75" customHeight="1" x14ac:dyDescent="0.25">
      <c r="A16" s="176"/>
      <c r="B16" s="206" t="s">
        <v>611</v>
      </c>
      <c r="C16" s="207">
        <f t="shared" ref="C16:O16" si="3">C7+C15</f>
        <v>0</v>
      </c>
      <c r="D16" s="208">
        <f t="shared" si="3"/>
        <v>0</v>
      </c>
      <c r="E16" s="208">
        <f t="shared" si="3"/>
        <v>0</v>
      </c>
      <c r="F16" s="208">
        <f t="shared" si="3"/>
        <v>0</v>
      </c>
      <c r="G16" s="208">
        <f t="shared" si="3"/>
        <v>0</v>
      </c>
      <c r="H16" s="208">
        <f t="shared" si="3"/>
        <v>0</v>
      </c>
      <c r="I16" s="208">
        <f t="shared" si="3"/>
        <v>0</v>
      </c>
      <c r="J16" s="208">
        <f t="shared" si="3"/>
        <v>0</v>
      </c>
      <c r="K16" s="208">
        <f t="shared" si="3"/>
        <v>0</v>
      </c>
      <c r="L16" s="208">
        <f t="shared" si="3"/>
        <v>0</v>
      </c>
      <c r="M16" s="208">
        <f t="shared" si="3"/>
        <v>0</v>
      </c>
      <c r="N16" s="208">
        <f t="shared" si="3"/>
        <v>0</v>
      </c>
      <c r="O16" s="209">
        <f t="shared" si="3"/>
        <v>0</v>
      </c>
      <c r="P16" s="176"/>
      <c r="Q16" s="176"/>
      <c r="R16" s="176"/>
      <c r="S16" s="176"/>
      <c r="T16" s="176"/>
      <c r="U16" s="176"/>
      <c r="V16" s="176"/>
      <c r="W16" s="176"/>
      <c r="X16" s="176"/>
      <c r="Y16" s="176"/>
      <c r="Z16" s="176"/>
    </row>
    <row r="17" spans="1:26" ht="15.75" customHeight="1" x14ac:dyDescent="0.25">
      <c r="A17" s="210"/>
      <c r="B17" s="211"/>
      <c r="C17" s="212"/>
      <c r="D17" s="212"/>
      <c r="E17" s="212"/>
      <c r="F17" s="212"/>
      <c r="G17" s="212"/>
      <c r="H17" s="212"/>
      <c r="I17" s="212"/>
      <c r="J17" s="212"/>
      <c r="K17" s="212"/>
      <c r="L17" s="212"/>
      <c r="M17" s="212"/>
      <c r="N17" s="212"/>
      <c r="O17" s="212"/>
      <c r="P17" s="210"/>
      <c r="Q17" s="210"/>
      <c r="R17" s="210"/>
      <c r="S17" s="210"/>
      <c r="T17" s="210"/>
      <c r="U17" s="210"/>
      <c r="V17" s="210"/>
      <c r="W17" s="210"/>
      <c r="X17" s="210"/>
      <c r="Y17" s="210"/>
      <c r="Z17" s="210"/>
    </row>
    <row r="18" spans="1:26" ht="15.75" customHeight="1" x14ac:dyDescent="0.25">
      <c r="A18" s="176"/>
      <c r="B18" s="213" t="s">
        <v>612</v>
      </c>
      <c r="C18" s="214"/>
      <c r="D18" s="215"/>
      <c r="E18" s="215"/>
      <c r="F18" s="215"/>
      <c r="G18" s="215"/>
      <c r="H18" s="215"/>
      <c r="I18" s="215"/>
      <c r="J18" s="215"/>
      <c r="K18" s="215"/>
      <c r="L18" s="215"/>
      <c r="M18" s="216"/>
      <c r="N18" s="216"/>
      <c r="O18" s="217"/>
      <c r="P18" s="176"/>
      <c r="Q18" s="176"/>
      <c r="R18" s="176"/>
      <c r="S18" s="176"/>
      <c r="T18" s="176"/>
      <c r="U18" s="176"/>
      <c r="V18" s="176"/>
      <c r="W18" s="176"/>
      <c r="X18" s="176"/>
      <c r="Y18" s="176"/>
      <c r="Z18" s="176"/>
    </row>
    <row r="19" spans="1:26" ht="15.75" customHeight="1" x14ac:dyDescent="0.25">
      <c r="A19" s="176"/>
      <c r="B19" s="218" t="s">
        <v>613</v>
      </c>
      <c r="C19" s="203"/>
      <c r="D19" s="203"/>
      <c r="E19" s="203"/>
      <c r="F19" s="203"/>
      <c r="G19" s="203"/>
      <c r="H19" s="203"/>
      <c r="I19" s="203"/>
      <c r="J19" s="203"/>
      <c r="K19" s="203"/>
      <c r="L19" s="203"/>
      <c r="M19" s="219"/>
      <c r="N19" s="219"/>
      <c r="O19" s="219"/>
      <c r="P19" s="176"/>
      <c r="Q19" s="176"/>
      <c r="R19" s="176"/>
      <c r="S19" s="176"/>
      <c r="T19" s="176"/>
      <c r="U19" s="176"/>
      <c r="V19" s="176"/>
      <c r="W19" s="176"/>
      <c r="X19" s="176"/>
      <c r="Y19" s="176"/>
      <c r="Z19" s="176"/>
    </row>
    <row r="20" spans="1:26" ht="15.75" customHeight="1" x14ac:dyDescent="0.25">
      <c r="A20" s="176"/>
      <c r="B20" s="218" t="s">
        <v>614</v>
      </c>
      <c r="C20" s="203"/>
      <c r="D20" s="203"/>
      <c r="E20" s="203"/>
      <c r="F20" s="203"/>
      <c r="G20" s="203"/>
      <c r="H20" s="203"/>
      <c r="I20" s="203"/>
      <c r="J20" s="203"/>
      <c r="K20" s="203"/>
      <c r="L20" s="203"/>
      <c r="M20" s="203"/>
      <c r="N20" s="219"/>
      <c r="O20" s="219"/>
      <c r="P20" s="176"/>
      <c r="Q20" s="176"/>
      <c r="R20" s="176"/>
      <c r="S20" s="176"/>
      <c r="T20" s="176"/>
      <c r="U20" s="176"/>
      <c r="V20" s="176"/>
      <c r="W20" s="176"/>
      <c r="X20" s="176"/>
      <c r="Y20" s="176"/>
      <c r="Z20" s="176"/>
    </row>
    <row r="21" spans="1:26" ht="15.75" customHeight="1" x14ac:dyDescent="0.25">
      <c r="A21" s="176"/>
      <c r="B21" s="218" t="s">
        <v>615</v>
      </c>
      <c r="C21" s="203"/>
      <c r="D21" s="203"/>
      <c r="E21" s="203"/>
      <c r="F21" s="203"/>
      <c r="G21" s="203"/>
      <c r="H21" s="203"/>
      <c r="I21" s="203"/>
      <c r="J21" s="203"/>
      <c r="K21" s="203"/>
      <c r="L21" s="203"/>
      <c r="M21" s="219"/>
      <c r="N21" s="219"/>
      <c r="O21" s="219"/>
      <c r="P21" s="176"/>
      <c r="Q21" s="176"/>
      <c r="R21" s="176"/>
      <c r="S21" s="176"/>
      <c r="T21" s="176"/>
      <c r="U21" s="176"/>
      <c r="V21" s="176"/>
      <c r="W21" s="176"/>
      <c r="X21" s="176"/>
      <c r="Y21" s="176"/>
      <c r="Z21" s="176"/>
    </row>
    <row r="22" spans="1:26" ht="15.75" customHeight="1" x14ac:dyDescent="0.25">
      <c r="A22" s="176"/>
      <c r="B22" s="218" t="s">
        <v>616</v>
      </c>
      <c r="C22" s="203"/>
      <c r="D22" s="203"/>
      <c r="E22" s="203"/>
      <c r="F22" s="203"/>
      <c r="G22" s="203"/>
      <c r="H22" s="203"/>
      <c r="I22" s="203"/>
      <c r="J22" s="203"/>
      <c r="K22" s="203"/>
      <c r="L22" s="203"/>
      <c r="M22" s="219"/>
      <c r="N22" s="219"/>
      <c r="O22" s="219"/>
      <c r="P22" s="176"/>
      <c r="Q22" s="176"/>
      <c r="R22" s="176"/>
      <c r="S22" s="176"/>
      <c r="T22" s="176"/>
      <c r="U22" s="176"/>
      <c r="V22" s="176"/>
      <c r="W22" s="176"/>
      <c r="X22" s="176"/>
      <c r="Y22" s="176"/>
      <c r="Z22" s="176"/>
    </row>
    <row r="23" spans="1:26" ht="15.75" customHeight="1" x14ac:dyDescent="0.25">
      <c r="A23" s="176"/>
      <c r="B23" s="218" t="s">
        <v>617</v>
      </c>
      <c r="C23" s="203"/>
      <c r="D23" s="203"/>
      <c r="E23" s="203"/>
      <c r="F23" s="203"/>
      <c r="G23" s="203"/>
      <c r="H23" s="203"/>
      <c r="I23" s="203"/>
      <c r="J23" s="203"/>
      <c r="K23" s="203"/>
      <c r="L23" s="203"/>
      <c r="M23" s="219"/>
      <c r="N23" s="203"/>
      <c r="O23" s="219"/>
      <c r="P23" s="176"/>
      <c r="Q23" s="176"/>
      <c r="R23" s="176"/>
      <c r="S23" s="176"/>
      <c r="T23" s="176"/>
      <c r="U23" s="176"/>
      <c r="V23" s="176"/>
      <c r="W23" s="176"/>
      <c r="X23" s="176"/>
      <c r="Y23" s="176"/>
      <c r="Z23" s="176"/>
    </row>
    <row r="24" spans="1:26" ht="15.75" customHeight="1" x14ac:dyDescent="0.25">
      <c r="A24" s="176"/>
      <c r="B24" s="220" t="s">
        <v>618</v>
      </c>
      <c r="C24" s="203"/>
      <c r="D24" s="203"/>
      <c r="E24" s="203"/>
      <c r="F24" s="203"/>
      <c r="G24" s="203"/>
      <c r="H24" s="203"/>
      <c r="I24" s="203"/>
      <c r="J24" s="203"/>
      <c r="K24" s="203"/>
      <c r="L24" s="203"/>
      <c r="M24" s="219"/>
      <c r="N24" s="203"/>
      <c r="O24" s="219"/>
      <c r="P24" s="176"/>
      <c r="Q24" s="176"/>
      <c r="R24" s="176"/>
      <c r="S24" s="176"/>
      <c r="T24" s="176"/>
      <c r="U24" s="176"/>
      <c r="V24" s="176"/>
      <c r="W24" s="176"/>
      <c r="X24" s="176"/>
      <c r="Y24" s="176"/>
      <c r="Z24" s="176"/>
    </row>
    <row r="25" spans="1:26" ht="15.75" customHeight="1" x14ac:dyDescent="0.25">
      <c r="A25" s="176"/>
      <c r="B25" s="218" t="s">
        <v>619</v>
      </c>
      <c r="C25" s="203"/>
      <c r="D25" s="203"/>
      <c r="E25" s="203"/>
      <c r="F25" s="203"/>
      <c r="G25" s="203"/>
      <c r="H25" s="203"/>
      <c r="I25" s="203"/>
      <c r="J25" s="203"/>
      <c r="K25" s="203"/>
      <c r="L25" s="203"/>
      <c r="M25" s="219"/>
      <c r="N25" s="203"/>
      <c r="O25" s="219"/>
      <c r="P25" s="176"/>
      <c r="Q25" s="176"/>
      <c r="R25" s="176"/>
      <c r="S25" s="176"/>
      <c r="T25" s="176"/>
      <c r="U25" s="176"/>
      <c r="V25" s="176"/>
      <c r="W25" s="176"/>
      <c r="X25" s="176"/>
      <c r="Y25" s="176"/>
      <c r="Z25" s="176"/>
    </row>
    <row r="26" spans="1:26" ht="15.75" customHeight="1" x14ac:dyDescent="0.25">
      <c r="A26" s="176"/>
      <c r="B26" s="218" t="s">
        <v>620</v>
      </c>
      <c r="C26" s="203"/>
      <c r="D26" s="203"/>
      <c r="E26" s="203"/>
      <c r="F26" s="203"/>
      <c r="G26" s="203"/>
      <c r="H26" s="203"/>
      <c r="I26" s="203"/>
      <c r="J26" s="203"/>
      <c r="K26" s="203"/>
      <c r="L26" s="203"/>
      <c r="M26" s="203"/>
      <c r="N26" s="203"/>
      <c r="O26" s="203"/>
      <c r="P26" s="176"/>
      <c r="Q26" s="176"/>
      <c r="R26" s="176"/>
      <c r="S26" s="176"/>
      <c r="T26" s="176"/>
      <c r="U26" s="176"/>
      <c r="V26" s="176"/>
      <c r="W26" s="176"/>
      <c r="X26" s="176"/>
      <c r="Y26" s="176"/>
      <c r="Z26" s="176"/>
    </row>
    <row r="27" spans="1:26" ht="15.75" customHeight="1" x14ac:dyDescent="0.25">
      <c r="A27" s="176"/>
      <c r="B27" s="218" t="s">
        <v>621</v>
      </c>
      <c r="C27" s="203"/>
      <c r="D27" s="203"/>
      <c r="E27" s="203"/>
      <c r="F27" s="203"/>
      <c r="G27" s="203"/>
      <c r="H27" s="203"/>
      <c r="I27" s="203"/>
      <c r="J27" s="203"/>
      <c r="K27" s="203"/>
      <c r="L27" s="203"/>
      <c r="M27" s="219"/>
      <c r="N27" s="203"/>
      <c r="O27" s="219"/>
      <c r="P27" s="176"/>
      <c r="Q27" s="176"/>
      <c r="R27" s="176"/>
      <c r="S27" s="176"/>
      <c r="T27" s="176"/>
      <c r="U27" s="176"/>
      <c r="V27" s="176"/>
      <c r="W27" s="176"/>
      <c r="X27" s="176"/>
      <c r="Y27" s="176"/>
      <c r="Z27" s="176"/>
    </row>
    <row r="28" spans="1:26" ht="15.75" customHeight="1" x14ac:dyDescent="0.25">
      <c r="A28" s="176"/>
      <c r="B28" s="218" t="s">
        <v>622</v>
      </c>
      <c r="C28" s="203"/>
      <c r="D28" s="203"/>
      <c r="E28" s="203"/>
      <c r="F28" s="203"/>
      <c r="G28" s="203"/>
      <c r="H28" s="203"/>
      <c r="I28" s="203"/>
      <c r="J28" s="203"/>
      <c r="K28" s="203"/>
      <c r="L28" s="203"/>
      <c r="M28" s="219"/>
      <c r="N28" s="203"/>
      <c r="O28" s="219"/>
      <c r="P28" s="176"/>
      <c r="Q28" s="176"/>
      <c r="R28" s="176"/>
      <c r="S28" s="176"/>
      <c r="T28" s="176"/>
      <c r="U28" s="176"/>
      <c r="V28" s="176"/>
      <c r="W28" s="176"/>
      <c r="X28" s="176"/>
      <c r="Y28" s="176"/>
      <c r="Z28" s="176"/>
    </row>
    <row r="29" spans="1:26" ht="15.75" customHeight="1" x14ac:dyDescent="0.25">
      <c r="A29" s="176"/>
      <c r="B29" s="218" t="s">
        <v>623</v>
      </c>
      <c r="C29" s="203"/>
      <c r="D29" s="203"/>
      <c r="E29" s="203"/>
      <c r="F29" s="203"/>
      <c r="G29" s="203"/>
      <c r="H29" s="203"/>
      <c r="I29" s="203"/>
      <c r="J29" s="203"/>
      <c r="K29" s="203"/>
      <c r="L29" s="203"/>
      <c r="M29" s="219"/>
      <c r="N29" s="203"/>
      <c r="O29" s="219"/>
      <c r="P29" s="176"/>
      <c r="Q29" s="176"/>
      <c r="R29" s="176"/>
      <c r="S29" s="176"/>
      <c r="T29" s="176"/>
      <c r="U29" s="176"/>
      <c r="V29" s="176"/>
      <c r="W29" s="176"/>
      <c r="X29" s="176"/>
      <c r="Y29" s="176"/>
      <c r="Z29" s="176"/>
    </row>
    <row r="30" spans="1:26" ht="15.75" customHeight="1" x14ac:dyDescent="0.25">
      <c r="A30" s="176"/>
      <c r="B30" s="218" t="s">
        <v>624</v>
      </c>
      <c r="C30" s="203"/>
      <c r="D30" s="203"/>
      <c r="E30" s="203"/>
      <c r="F30" s="203"/>
      <c r="G30" s="203"/>
      <c r="H30" s="203"/>
      <c r="I30" s="203"/>
      <c r="J30" s="203"/>
      <c r="K30" s="203"/>
      <c r="L30" s="203"/>
      <c r="M30" s="219"/>
      <c r="N30" s="219"/>
      <c r="O30" s="219"/>
      <c r="P30" s="176"/>
      <c r="Q30" s="176"/>
      <c r="R30" s="176"/>
      <c r="S30" s="176"/>
      <c r="T30" s="176"/>
      <c r="U30" s="176"/>
      <c r="V30" s="176"/>
      <c r="W30" s="176"/>
      <c r="X30" s="176"/>
      <c r="Y30" s="176"/>
      <c r="Z30" s="176"/>
    </row>
    <row r="31" spans="1:26" ht="15.75" customHeight="1" x14ac:dyDescent="0.25">
      <c r="A31" s="176"/>
      <c r="B31" s="218" t="s">
        <v>625</v>
      </c>
      <c r="C31" s="203"/>
      <c r="D31" s="203"/>
      <c r="E31" s="203"/>
      <c r="F31" s="203"/>
      <c r="G31" s="203"/>
      <c r="H31" s="203"/>
      <c r="I31" s="203"/>
      <c r="J31" s="203"/>
      <c r="K31" s="203"/>
      <c r="L31" s="203"/>
      <c r="M31" s="219"/>
      <c r="N31" s="219"/>
      <c r="O31" s="219"/>
      <c r="P31" s="176"/>
      <c r="Q31" s="176"/>
      <c r="R31" s="176"/>
      <c r="S31" s="176"/>
      <c r="T31" s="176"/>
      <c r="U31" s="176"/>
      <c r="V31" s="176"/>
      <c r="W31" s="176"/>
      <c r="X31" s="176"/>
      <c r="Y31" s="176"/>
      <c r="Z31" s="176"/>
    </row>
    <row r="32" spans="1:26" ht="15.75" customHeight="1" x14ac:dyDescent="0.25">
      <c r="A32" s="176"/>
      <c r="B32" s="218" t="s">
        <v>626</v>
      </c>
      <c r="C32" s="203"/>
      <c r="D32" s="203"/>
      <c r="E32" s="203"/>
      <c r="F32" s="203"/>
      <c r="G32" s="203"/>
      <c r="H32" s="203"/>
      <c r="I32" s="203"/>
      <c r="J32" s="203"/>
      <c r="K32" s="203"/>
      <c r="L32" s="203"/>
      <c r="M32" s="219"/>
      <c r="N32" s="219"/>
      <c r="O32" s="219"/>
      <c r="P32" s="176"/>
      <c r="Q32" s="176"/>
      <c r="R32" s="176"/>
      <c r="S32" s="176"/>
      <c r="T32" s="176"/>
      <c r="U32" s="176"/>
      <c r="V32" s="176"/>
      <c r="W32" s="176"/>
      <c r="X32" s="176"/>
      <c r="Y32" s="176"/>
      <c r="Z32" s="176"/>
    </row>
    <row r="33" spans="1:26" ht="15.75" customHeight="1" x14ac:dyDescent="0.25">
      <c r="A33" s="176"/>
      <c r="B33" s="218" t="s">
        <v>627</v>
      </c>
      <c r="C33" s="203"/>
      <c r="D33" s="203"/>
      <c r="E33" s="203"/>
      <c r="F33" s="203"/>
      <c r="G33" s="203"/>
      <c r="H33" s="203"/>
      <c r="I33" s="203"/>
      <c r="J33" s="203"/>
      <c r="K33" s="203"/>
      <c r="L33" s="203"/>
      <c r="M33" s="219"/>
      <c r="N33" s="219"/>
      <c r="O33" s="219"/>
      <c r="P33" s="176"/>
      <c r="Q33" s="176"/>
      <c r="R33" s="176"/>
      <c r="S33" s="176"/>
      <c r="T33" s="176"/>
      <c r="U33" s="176"/>
      <c r="V33" s="176"/>
      <c r="W33" s="176"/>
      <c r="X33" s="176"/>
      <c r="Y33" s="176"/>
      <c r="Z33" s="176"/>
    </row>
    <row r="34" spans="1:26" ht="15.75" customHeight="1" x14ac:dyDescent="0.25">
      <c r="A34" s="176"/>
      <c r="B34" s="218" t="s">
        <v>628</v>
      </c>
      <c r="C34" s="203"/>
      <c r="D34" s="203"/>
      <c r="E34" s="203"/>
      <c r="F34" s="203"/>
      <c r="G34" s="203"/>
      <c r="H34" s="203"/>
      <c r="I34" s="203"/>
      <c r="J34" s="203"/>
      <c r="K34" s="203"/>
      <c r="L34" s="203"/>
      <c r="M34" s="219"/>
      <c r="N34" s="219"/>
      <c r="O34" s="219"/>
      <c r="P34" s="176"/>
      <c r="Q34" s="176"/>
      <c r="R34" s="176"/>
      <c r="S34" s="176"/>
      <c r="T34" s="176"/>
      <c r="U34" s="176"/>
      <c r="V34" s="176"/>
      <c r="W34" s="176"/>
      <c r="X34" s="176"/>
      <c r="Y34" s="176"/>
      <c r="Z34" s="176"/>
    </row>
    <row r="35" spans="1:26" ht="15.75" customHeight="1" x14ac:dyDescent="0.25">
      <c r="A35" s="176"/>
      <c r="B35" s="218" t="s">
        <v>629</v>
      </c>
      <c r="C35" s="203"/>
      <c r="D35" s="203"/>
      <c r="E35" s="203"/>
      <c r="F35" s="203"/>
      <c r="G35" s="203"/>
      <c r="H35" s="203"/>
      <c r="I35" s="203"/>
      <c r="J35" s="203"/>
      <c r="K35" s="203"/>
      <c r="L35" s="203"/>
      <c r="M35" s="219"/>
      <c r="N35" s="219"/>
      <c r="O35" s="219"/>
      <c r="P35" s="176"/>
      <c r="Q35" s="176"/>
      <c r="R35" s="176"/>
      <c r="S35" s="176"/>
      <c r="T35" s="176"/>
      <c r="U35" s="176"/>
      <c r="V35" s="176"/>
      <c r="W35" s="176"/>
      <c r="X35" s="176"/>
      <c r="Y35" s="176"/>
      <c r="Z35" s="176"/>
    </row>
    <row r="36" spans="1:26" ht="15.75" customHeight="1" x14ac:dyDescent="0.25">
      <c r="A36" s="176"/>
      <c r="B36" s="218" t="s">
        <v>630</v>
      </c>
      <c r="C36" s="203"/>
      <c r="D36" s="203"/>
      <c r="E36" s="203"/>
      <c r="F36" s="203"/>
      <c r="G36" s="203"/>
      <c r="H36" s="203"/>
      <c r="I36" s="203"/>
      <c r="J36" s="203"/>
      <c r="K36" s="203"/>
      <c r="L36" s="203"/>
      <c r="M36" s="219"/>
      <c r="N36" s="219"/>
      <c r="O36" s="219"/>
      <c r="P36" s="176"/>
      <c r="Q36" s="176"/>
      <c r="R36" s="176"/>
      <c r="S36" s="176"/>
      <c r="T36" s="176"/>
      <c r="U36" s="176"/>
      <c r="V36" s="176"/>
      <c r="W36" s="176"/>
      <c r="X36" s="176"/>
      <c r="Y36" s="176"/>
      <c r="Z36" s="176"/>
    </row>
    <row r="37" spans="1:26" ht="15.75" customHeight="1" x14ac:dyDescent="0.25">
      <c r="A37" s="176"/>
      <c r="B37" s="218" t="s">
        <v>631</v>
      </c>
      <c r="C37" s="203"/>
      <c r="D37" s="203"/>
      <c r="E37" s="203"/>
      <c r="F37" s="203"/>
      <c r="G37" s="203"/>
      <c r="H37" s="203"/>
      <c r="I37" s="203"/>
      <c r="J37" s="203"/>
      <c r="K37" s="203"/>
      <c r="L37" s="203"/>
      <c r="M37" s="219"/>
      <c r="N37" s="219"/>
      <c r="O37" s="219"/>
      <c r="P37" s="176"/>
      <c r="Q37" s="176"/>
      <c r="R37" s="176"/>
      <c r="S37" s="176"/>
      <c r="T37" s="176"/>
      <c r="U37" s="176"/>
      <c r="V37" s="176"/>
      <c r="W37" s="176"/>
      <c r="X37" s="176"/>
      <c r="Y37" s="176"/>
      <c r="Z37" s="176"/>
    </row>
    <row r="38" spans="1:26" ht="15.75" customHeight="1" x14ac:dyDescent="0.25">
      <c r="A38" s="176"/>
      <c r="B38" s="218" t="s">
        <v>632</v>
      </c>
      <c r="C38" s="203"/>
      <c r="D38" s="203"/>
      <c r="E38" s="203"/>
      <c r="F38" s="203"/>
      <c r="G38" s="203"/>
      <c r="H38" s="203"/>
      <c r="I38" s="203"/>
      <c r="J38" s="203"/>
      <c r="K38" s="203"/>
      <c r="L38" s="203"/>
      <c r="M38" s="219"/>
      <c r="N38" s="219"/>
      <c r="O38" s="219"/>
      <c r="P38" s="176"/>
      <c r="Q38" s="176"/>
      <c r="R38" s="176"/>
      <c r="S38" s="176"/>
      <c r="T38" s="176"/>
      <c r="U38" s="176"/>
      <c r="V38" s="176"/>
      <c r="W38" s="176"/>
      <c r="X38" s="176"/>
      <c r="Y38" s="176"/>
      <c r="Z38" s="176"/>
    </row>
    <row r="39" spans="1:26" ht="15.75" customHeight="1" x14ac:dyDescent="0.25">
      <c r="A39" s="176"/>
      <c r="B39" s="218" t="s">
        <v>633</v>
      </c>
      <c r="C39" s="203"/>
      <c r="D39" s="203"/>
      <c r="E39" s="203"/>
      <c r="F39" s="203"/>
      <c r="G39" s="203"/>
      <c r="H39" s="203"/>
      <c r="I39" s="203"/>
      <c r="J39" s="203"/>
      <c r="K39" s="203"/>
      <c r="L39" s="203"/>
      <c r="M39" s="219"/>
      <c r="N39" s="219"/>
      <c r="O39" s="219"/>
      <c r="P39" s="176"/>
      <c r="Q39" s="176"/>
      <c r="R39" s="176"/>
      <c r="S39" s="176"/>
      <c r="T39" s="176"/>
      <c r="U39" s="176"/>
      <c r="V39" s="176"/>
      <c r="W39" s="176"/>
      <c r="X39" s="176"/>
      <c r="Y39" s="176"/>
      <c r="Z39" s="176"/>
    </row>
    <row r="40" spans="1:26" ht="15.75" customHeight="1" x14ac:dyDescent="0.25">
      <c r="A40" s="176"/>
      <c r="B40" s="220" t="s">
        <v>634</v>
      </c>
      <c r="C40" s="203"/>
      <c r="D40" s="203"/>
      <c r="E40" s="203"/>
      <c r="F40" s="203"/>
      <c r="G40" s="203"/>
      <c r="H40" s="203"/>
      <c r="I40" s="203"/>
      <c r="J40" s="203"/>
      <c r="K40" s="203"/>
      <c r="L40" s="203"/>
      <c r="M40" s="219"/>
      <c r="N40" s="219"/>
      <c r="O40" s="219"/>
      <c r="P40" s="176"/>
      <c r="Q40" s="176"/>
      <c r="R40" s="176"/>
      <c r="S40" s="176"/>
      <c r="T40" s="176"/>
      <c r="U40" s="176"/>
      <c r="V40" s="176"/>
      <c r="W40" s="176"/>
      <c r="X40" s="176"/>
      <c r="Y40" s="176"/>
      <c r="Z40" s="176"/>
    </row>
    <row r="41" spans="1:26" ht="15.75" customHeight="1" x14ac:dyDescent="0.25">
      <c r="A41" s="176"/>
      <c r="B41" s="220" t="s">
        <v>634</v>
      </c>
      <c r="C41" s="203"/>
      <c r="D41" s="203"/>
      <c r="E41" s="203"/>
      <c r="F41" s="203"/>
      <c r="G41" s="203"/>
      <c r="H41" s="203"/>
      <c r="I41" s="203"/>
      <c r="J41" s="203"/>
      <c r="K41" s="203"/>
      <c r="L41" s="203"/>
      <c r="M41" s="219"/>
      <c r="N41" s="219"/>
      <c r="O41" s="219"/>
      <c r="P41" s="176"/>
      <c r="Q41" s="176"/>
      <c r="R41" s="176"/>
      <c r="S41" s="176"/>
      <c r="T41" s="176"/>
      <c r="U41" s="176"/>
      <c r="V41" s="176"/>
      <c r="W41" s="176"/>
      <c r="X41" s="176"/>
      <c r="Y41" s="176"/>
      <c r="Z41" s="176"/>
    </row>
    <row r="42" spans="1:26" ht="15.75" customHeight="1" x14ac:dyDescent="0.25">
      <c r="A42" s="176"/>
      <c r="B42" s="220" t="s">
        <v>634</v>
      </c>
      <c r="C42" s="203"/>
      <c r="D42" s="203"/>
      <c r="E42" s="203"/>
      <c r="F42" s="203"/>
      <c r="G42" s="203"/>
      <c r="H42" s="203"/>
      <c r="I42" s="203"/>
      <c r="J42" s="203"/>
      <c r="K42" s="203"/>
      <c r="L42" s="203"/>
      <c r="M42" s="219"/>
      <c r="N42" s="219"/>
      <c r="O42" s="219"/>
      <c r="P42" s="176"/>
      <c r="Q42" s="176"/>
      <c r="R42" s="176"/>
      <c r="S42" s="176"/>
      <c r="T42" s="176"/>
      <c r="U42" s="176"/>
      <c r="V42" s="176"/>
      <c r="W42" s="176"/>
      <c r="X42" s="176"/>
      <c r="Y42" s="176"/>
      <c r="Z42" s="176"/>
    </row>
    <row r="43" spans="1:26" ht="15.75" customHeight="1" x14ac:dyDescent="0.25">
      <c r="A43" s="176"/>
      <c r="B43" s="220" t="s">
        <v>635</v>
      </c>
      <c r="C43" s="203"/>
      <c r="D43" s="203"/>
      <c r="E43" s="203"/>
      <c r="F43" s="203"/>
      <c r="G43" s="203"/>
      <c r="H43" s="203"/>
      <c r="I43" s="203"/>
      <c r="J43" s="203"/>
      <c r="K43" s="203"/>
      <c r="L43" s="203"/>
      <c r="M43" s="219"/>
      <c r="N43" s="219"/>
      <c r="O43" s="219"/>
      <c r="P43" s="176"/>
      <c r="Q43" s="176"/>
      <c r="R43" s="176"/>
      <c r="S43" s="176"/>
      <c r="T43" s="176"/>
      <c r="U43" s="176"/>
      <c r="V43" s="176"/>
      <c r="W43" s="176"/>
      <c r="X43" s="176"/>
      <c r="Y43" s="176"/>
      <c r="Z43" s="176"/>
    </row>
    <row r="44" spans="1:26" ht="15.75" customHeight="1" x14ac:dyDescent="0.25">
      <c r="A44" s="176"/>
      <c r="B44" s="221" t="s">
        <v>636</v>
      </c>
      <c r="C44" s="222">
        <f t="shared" ref="C44:O44" si="4">SUM(C19:C43)</f>
        <v>0</v>
      </c>
      <c r="D44" s="222">
        <f t="shared" si="4"/>
        <v>0</v>
      </c>
      <c r="E44" s="222">
        <f t="shared" si="4"/>
        <v>0</v>
      </c>
      <c r="F44" s="222">
        <f t="shared" si="4"/>
        <v>0</v>
      </c>
      <c r="G44" s="222">
        <f t="shared" si="4"/>
        <v>0</v>
      </c>
      <c r="H44" s="222">
        <f t="shared" si="4"/>
        <v>0</v>
      </c>
      <c r="I44" s="222">
        <f t="shared" si="4"/>
        <v>0</v>
      </c>
      <c r="J44" s="222">
        <f t="shared" si="4"/>
        <v>0</v>
      </c>
      <c r="K44" s="222">
        <f t="shared" si="4"/>
        <v>0</v>
      </c>
      <c r="L44" s="222">
        <f t="shared" si="4"/>
        <v>0</v>
      </c>
      <c r="M44" s="222">
        <f t="shared" si="4"/>
        <v>0</v>
      </c>
      <c r="N44" s="222">
        <f t="shared" si="4"/>
        <v>0</v>
      </c>
      <c r="O44" s="222">
        <f t="shared" si="4"/>
        <v>0</v>
      </c>
      <c r="P44" s="176"/>
      <c r="Q44" s="176"/>
      <c r="R44" s="176"/>
      <c r="S44" s="176"/>
      <c r="T44" s="176"/>
      <c r="U44" s="176"/>
      <c r="V44" s="176"/>
      <c r="W44" s="176"/>
      <c r="X44" s="176"/>
      <c r="Y44" s="176"/>
      <c r="Z44" s="176"/>
    </row>
    <row r="45" spans="1:26" ht="15.75" customHeight="1" x14ac:dyDescent="0.25">
      <c r="A45" s="176"/>
      <c r="B45" s="221" t="s">
        <v>637</v>
      </c>
      <c r="C45" s="223"/>
      <c r="D45" s="223"/>
      <c r="E45" s="223"/>
      <c r="F45" s="223"/>
      <c r="G45" s="223"/>
      <c r="H45" s="223"/>
      <c r="I45" s="223"/>
      <c r="J45" s="223"/>
      <c r="K45" s="223"/>
      <c r="L45" s="223"/>
      <c r="M45" s="224"/>
      <c r="N45" s="224"/>
      <c r="O45" s="224"/>
      <c r="P45" s="176"/>
      <c r="Q45" s="176"/>
      <c r="R45" s="176"/>
      <c r="S45" s="176"/>
      <c r="T45" s="176"/>
      <c r="U45" s="176"/>
      <c r="V45" s="176"/>
      <c r="W45" s="176"/>
      <c r="X45" s="176"/>
      <c r="Y45" s="176"/>
      <c r="Z45" s="176"/>
    </row>
    <row r="46" spans="1:26" ht="15.75" customHeight="1" x14ac:dyDescent="0.25">
      <c r="A46" s="176"/>
      <c r="B46" s="220" t="s">
        <v>638</v>
      </c>
      <c r="C46" s="203"/>
      <c r="D46" s="203"/>
      <c r="E46" s="203"/>
      <c r="F46" s="203"/>
      <c r="G46" s="203"/>
      <c r="H46" s="203"/>
      <c r="I46" s="203"/>
      <c r="J46" s="203"/>
      <c r="K46" s="203"/>
      <c r="L46" s="203"/>
      <c r="M46" s="219"/>
      <c r="N46" s="219"/>
      <c r="O46" s="219"/>
      <c r="P46" s="176"/>
      <c r="Q46" s="176"/>
      <c r="R46" s="176"/>
      <c r="S46" s="176"/>
      <c r="T46" s="176"/>
      <c r="U46" s="176"/>
      <c r="V46" s="176"/>
      <c r="W46" s="176"/>
      <c r="X46" s="176"/>
      <c r="Y46" s="176"/>
      <c r="Z46" s="176"/>
    </row>
    <row r="47" spans="1:26" ht="15.75" customHeight="1" x14ac:dyDescent="0.25">
      <c r="A47" s="176"/>
      <c r="B47" s="220" t="s">
        <v>639</v>
      </c>
      <c r="C47" s="203"/>
      <c r="D47" s="203"/>
      <c r="E47" s="203"/>
      <c r="F47" s="203"/>
      <c r="G47" s="203"/>
      <c r="H47" s="203"/>
      <c r="I47" s="203"/>
      <c r="J47" s="203"/>
      <c r="K47" s="203"/>
      <c r="L47" s="203"/>
      <c r="M47" s="219"/>
      <c r="N47" s="219"/>
      <c r="O47" s="219"/>
      <c r="P47" s="176"/>
      <c r="Q47" s="176"/>
      <c r="R47" s="176"/>
      <c r="S47" s="176"/>
      <c r="T47" s="176"/>
      <c r="U47" s="176"/>
      <c r="V47" s="176"/>
      <c r="W47" s="176"/>
      <c r="X47" s="176"/>
      <c r="Y47" s="176"/>
      <c r="Z47" s="176"/>
    </row>
    <row r="48" spans="1:26" ht="15.75" customHeight="1" x14ac:dyDescent="0.25">
      <c r="A48" s="176"/>
      <c r="B48" s="220" t="s">
        <v>640</v>
      </c>
      <c r="C48" s="203"/>
      <c r="D48" s="203"/>
      <c r="E48" s="203"/>
      <c r="F48" s="203"/>
      <c r="G48" s="203"/>
      <c r="H48" s="203"/>
      <c r="I48" s="203"/>
      <c r="J48" s="203"/>
      <c r="K48" s="203"/>
      <c r="L48" s="203"/>
      <c r="M48" s="219"/>
      <c r="N48" s="219"/>
      <c r="O48" s="219"/>
      <c r="P48" s="176"/>
      <c r="Q48" s="176"/>
      <c r="R48" s="176"/>
      <c r="S48" s="176"/>
      <c r="T48" s="176"/>
      <c r="U48" s="176"/>
      <c r="V48" s="176"/>
      <c r="W48" s="176"/>
      <c r="X48" s="176"/>
      <c r="Y48" s="176"/>
      <c r="Z48" s="176"/>
    </row>
    <row r="49" spans="1:26" ht="15.75" customHeight="1" x14ac:dyDescent="0.25">
      <c r="A49" s="176"/>
      <c r="B49" s="220" t="s">
        <v>641</v>
      </c>
      <c r="C49" s="203"/>
      <c r="D49" s="203"/>
      <c r="E49" s="203"/>
      <c r="F49" s="203"/>
      <c r="G49" s="203"/>
      <c r="H49" s="203"/>
      <c r="I49" s="203"/>
      <c r="J49" s="203"/>
      <c r="K49" s="203"/>
      <c r="L49" s="203"/>
      <c r="M49" s="219"/>
      <c r="N49" s="219"/>
      <c r="O49" s="219"/>
      <c r="P49" s="176"/>
      <c r="Q49" s="176"/>
      <c r="R49" s="176"/>
      <c r="S49" s="176"/>
      <c r="T49" s="176"/>
      <c r="U49" s="176"/>
      <c r="V49" s="176"/>
      <c r="W49" s="176"/>
      <c r="X49" s="176"/>
      <c r="Y49" s="176"/>
      <c r="Z49" s="176"/>
    </row>
    <row r="50" spans="1:26" ht="15.75" customHeight="1" x14ac:dyDescent="0.25">
      <c r="A50" s="176"/>
      <c r="B50" s="220" t="s">
        <v>642</v>
      </c>
      <c r="C50" s="203"/>
      <c r="D50" s="203"/>
      <c r="E50" s="203"/>
      <c r="F50" s="203"/>
      <c r="G50" s="203"/>
      <c r="H50" s="203"/>
      <c r="I50" s="203"/>
      <c r="J50" s="203"/>
      <c r="K50" s="203"/>
      <c r="L50" s="203"/>
      <c r="M50" s="219"/>
      <c r="N50" s="219"/>
      <c r="O50" s="219"/>
      <c r="P50" s="176"/>
      <c r="Q50" s="176"/>
      <c r="R50" s="176"/>
      <c r="S50" s="176"/>
      <c r="T50" s="176"/>
      <c r="U50" s="176"/>
      <c r="V50" s="176"/>
      <c r="W50" s="176"/>
      <c r="X50" s="176"/>
      <c r="Y50" s="176"/>
      <c r="Z50" s="176"/>
    </row>
    <row r="51" spans="1:26" ht="15.75" customHeight="1" x14ac:dyDescent="0.25">
      <c r="A51" s="176"/>
      <c r="B51" s="221" t="s">
        <v>636</v>
      </c>
      <c r="C51" s="222">
        <f t="shared" ref="C51:O51" si="5">SUM(C46:C50)</f>
        <v>0</v>
      </c>
      <c r="D51" s="222">
        <f t="shared" si="5"/>
        <v>0</v>
      </c>
      <c r="E51" s="222">
        <f t="shared" si="5"/>
        <v>0</v>
      </c>
      <c r="F51" s="222">
        <f t="shared" si="5"/>
        <v>0</v>
      </c>
      <c r="G51" s="222">
        <f t="shared" si="5"/>
        <v>0</v>
      </c>
      <c r="H51" s="222">
        <f t="shared" si="5"/>
        <v>0</v>
      </c>
      <c r="I51" s="222">
        <f t="shared" si="5"/>
        <v>0</v>
      </c>
      <c r="J51" s="222">
        <f t="shared" si="5"/>
        <v>0</v>
      </c>
      <c r="K51" s="222">
        <f t="shared" si="5"/>
        <v>0</v>
      </c>
      <c r="L51" s="222">
        <f t="shared" si="5"/>
        <v>0</v>
      </c>
      <c r="M51" s="222">
        <f t="shared" si="5"/>
        <v>0</v>
      </c>
      <c r="N51" s="222">
        <f t="shared" si="5"/>
        <v>0</v>
      </c>
      <c r="O51" s="222">
        <f t="shared" si="5"/>
        <v>0</v>
      </c>
      <c r="P51" s="176"/>
      <c r="Q51" s="176"/>
      <c r="R51" s="176"/>
      <c r="S51" s="176"/>
      <c r="T51" s="176"/>
      <c r="U51" s="176"/>
      <c r="V51" s="176"/>
      <c r="W51" s="176"/>
      <c r="X51" s="176"/>
      <c r="Y51" s="176"/>
      <c r="Z51" s="176"/>
    </row>
    <row r="52" spans="1:26" ht="15.75" customHeight="1" x14ac:dyDescent="0.25">
      <c r="A52" s="176"/>
      <c r="B52" s="221" t="s">
        <v>643</v>
      </c>
      <c r="C52" s="225">
        <f t="shared" ref="C52:O52" si="6">C44+C51</f>
        <v>0</v>
      </c>
      <c r="D52" s="225">
        <f t="shared" si="6"/>
        <v>0</v>
      </c>
      <c r="E52" s="225">
        <f t="shared" si="6"/>
        <v>0</v>
      </c>
      <c r="F52" s="225">
        <f t="shared" si="6"/>
        <v>0</v>
      </c>
      <c r="G52" s="225">
        <f t="shared" si="6"/>
        <v>0</v>
      </c>
      <c r="H52" s="225">
        <f t="shared" si="6"/>
        <v>0</v>
      </c>
      <c r="I52" s="225">
        <f t="shared" si="6"/>
        <v>0</v>
      </c>
      <c r="J52" s="225">
        <f t="shared" si="6"/>
        <v>0</v>
      </c>
      <c r="K52" s="225">
        <f t="shared" si="6"/>
        <v>0</v>
      </c>
      <c r="L52" s="225">
        <f t="shared" si="6"/>
        <v>0</v>
      </c>
      <c r="M52" s="225">
        <f t="shared" si="6"/>
        <v>0</v>
      </c>
      <c r="N52" s="225">
        <f t="shared" si="6"/>
        <v>0</v>
      </c>
      <c r="O52" s="225">
        <f t="shared" si="6"/>
        <v>0</v>
      </c>
      <c r="P52" s="176"/>
      <c r="Q52" s="176"/>
      <c r="R52" s="176"/>
      <c r="S52" s="176"/>
      <c r="T52" s="176"/>
      <c r="U52" s="176"/>
      <c r="V52" s="176"/>
      <c r="W52" s="176"/>
      <c r="X52" s="176"/>
      <c r="Y52" s="176"/>
      <c r="Z52" s="176"/>
    </row>
    <row r="53" spans="1:26" ht="15.75" customHeight="1" x14ac:dyDescent="0.25">
      <c r="A53" s="176"/>
      <c r="B53" s="226" t="s">
        <v>644</v>
      </c>
      <c r="C53" s="227">
        <f t="shared" ref="C53:O53" si="7">C16-C52</f>
        <v>0</v>
      </c>
      <c r="D53" s="227">
        <f t="shared" si="7"/>
        <v>0</v>
      </c>
      <c r="E53" s="227">
        <f t="shared" si="7"/>
        <v>0</v>
      </c>
      <c r="F53" s="227">
        <f t="shared" si="7"/>
        <v>0</v>
      </c>
      <c r="G53" s="227">
        <f t="shared" si="7"/>
        <v>0</v>
      </c>
      <c r="H53" s="227">
        <f t="shared" si="7"/>
        <v>0</v>
      </c>
      <c r="I53" s="227">
        <f t="shared" si="7"/>
        <v>0</v>
      </c>
      <c r="J53" s="227">
        <f t="shared" si="7"/>
        <v>0</v>
      </c>
      <c r="K53" s="227">
        <f t="shared" si="7"/>
        <v>0</v>
      </c>
      <c r="L53" s="227">
        <f t="shared" si="7"/>
        <v>0</v>
      </c>
      <c r="M53" s="227">
        <f t="shared" si="7"/>
        <v>0</v>
      </c>
      <c r="N53" s="227">
        <f t="shared" si="7"/>
        <v>0</v>
      </c>
      <c r="O53" s="227">
        <f t="shared" si="7"/>
        <v>0</v>
      </c>
      <c r="P53" s="176"/>
      <c r="Q53" s="176"/>
      <c r="R53" s="176"/>
      <c r="S53" s="176"/>
      <c r="T53" s="176"/>
      <c r="U53" s="176"/>
      <c r="V53" s="176"/>
      <c r="W53" s="176"/>
      <c r="X53" s="176"/>
      <c r="Y53" s="176"/>
      <c r="Z53" s="176"/>
    </row>
    <row r="54" spans="1:26" ht="9.75" customHeight="1" x14ac:dyDescent="0.25">
      <c r="A54" s="176"/>
      <c r="B54" s="176"/>
      <c r="C54" s="176"/>
      <c r="D54" s="176"/>
      <c r="E54" s="176"/>
      <c r="F54" s="176"/>
      <c r="G54" s="176"/>
      <c r="H54" s="176"/>
      <c r="I54" s="176"/>
      <c r="J54" s="176"/>
      <c r="K54" s="176"/>
      <c r="L54" s="176"/>
      <c r="M54" s="176"/>
      <c r="N54" s="176"/>
      <c r="O54" s="176"/>
      <c r="P54" s="176"/>
      <c r="Q54" s="176"/>
      <c r="R54" s="176"/>
      <c r="S54" s="176"/>
      <c r="T54" s="176"/>
      <c r="U54" s="176"/>
      <c r="V54" s="176"/>
      <c r="W54" s="176"/>
      <c r="X54" s="176"/>
      <c r="Y54" s="176"/>
      <c r="Z54" s="176"/>
    </row>
    <row r="55" spans="1:26" ht="9.75" customHeight="1" x14ac:dyDescent="0.25">
      <c r="A55" s="176"/>
      <c r="B55" s="176"/>
      <c r="C55" s="176"/>
      <c r="D55" s="176"/>
      <c r="E55" s="176"/>
      <c r="F55" s="176"/>
      <c r="G55" s="176"/>
      <c r="H55" s="176"/>
      <c r="I55" s="176"/>
      <c r="J55" s="176"/>
      <c r="K55" s="176"/>
      <c r="L55" s="176"/>
      <c r="M55" s="176"/>
      <c r="N55" s="176"/>
      <c r="O55" s="176"/>
      <c r="P55" s="176"/>
      <c r="Q55" s="176"/>
      <c r="R55" s="176"/>
      <c r="S55" s="176"/>
      <c r="T55" s="176"/>
      <c r="U55" s="176"/>
      <c r="V55" s="176"/>
      <c r="W55" s="176"/>
      <c r="X55" s="176"/>
      <c r="Y55" s="176"/>
      <c r="Z55" s="176"/>
    </row>
    <row r="56" spans="1:26" ht="9.75" customHeight="1" x14ac:dyDescent="0.25">
      <c r="A56" s="176"/>
      <c r="B56" s="176"/>
      <c r="C56" s="176"/>
      <c r="D56" s="176"/>
      <c r="E56" s="176"/>
      <c r="F56" s="176"/>
      <c r="G56" s="176"/>
      <c r="H56" s="176"/>
      <c r="I56" s="176"/>
      <c r="J56" s="176"/>
      <c r="K56" s="176"/>
      <c r="L56" s="176"/>
      <c r="M56" s="176"/>
      <c r="N56" s="176"/>
      <c r="O56" s="176"/>
      <c r="P56" s="176"/>
      <c r="Q56" s="176"/>
      <c r="R56" s="176"/>
      <c r="S56" s="176"/>
      <c r="T56" s="176"/>
      <c r="U56" s="176"/>
      <c r="V56" s="176"/>
      <c r="W56" s="176"/>
      <c r="X56" s="176"/>
      <c r="Y56" s="176"/>
      <c r="Z56" s="176"/>
    </row>
    <row r="57" spans="1:26" ht="9.75" customHeight="1" x14ac:dyDescent="0.25">
      <c r="A57" s="176"/>
      <c r="B57" s="176"/>
      <c r="C57" s="176"/>
      <c r="D57" s="176"/>
      <c r="E57" s="176"/>
      <c r="F57" s="176"/>
      <c r="G57" s="176"/>
      <c r="H57" s="176"/>
      <c r="I57" s="176"/>
      <c r="J57" s="176"/>
      <c r="K57" s="176"/>
      <c r="L57" s="176"/>
      <c r="M57" s="176"/>
      <c r="N57" s="176"/>
      <c r="O57" s="176"/>
      <c r="P57" s="176"/>
      <c r="Q57" s="176"/>
      <c r="R57" s="176"/>
      <c r="S57" s="176"/>
      <c r="T57" s="176"/>
      <c r="U57" s="176"/>
      <c r="V57" s="176"/>
      <c r="W57" s="176"/>
      <c r="X57" s="176"/>
      <c r="Y57" s="176"/>
      <c r="Z57" s="176"/>
    </row>
    <row r="58" spans="1:26" ht="9.75" customHeight="1" x14ac:dyDescent="0.25">
      <c r="A58" s="176"/>
      <c r="B58" s="176"/>
      <c r="C58" s="176"/>
      <c r="D58" s="176"/>
      <c r="E58" s="176"/>
      <c r="F58" s="176"/>
      <c r="G58" s="176"/>
      <c r="H58" s="176"/>
      <c r="I58" s="176"/>
      <c r="J58" s="176"/>
      <c r="K58" s="176"/>
      <c r="L58" s="176"/>
      <c r="M58" s="176"/>
      <c r="N58" s="176"/>
      <c r="O58" s="176"/>
      <c r="P58" s="176"/>
      <c r="Q58" s="176"/>
      <c r="R58" s="176"/>
      <c r="S58" s="176"/>
      <c r="T58" s="176"/>
      <c r="U58" s="176"/>
      <c r="V58" s="176"/>
      <c r="W58" s="176"/>
      <c r="X58" s="176"/>
      <c r="Y58" s="176"/>
      <c r="Z58" s="176"/>
    </row>
    <row r="59" spans="1:26" ht="9.75" customHeight="1" x14ac:dyDescent="0.25">
      <c r="A59" s="176"/>
      <c r="B59" s="176"/>
      <c r="C59" s="176"/>
      <c r="D59" s="176"/>
      <c r="E59" s="176"/>
      <c r="F59" s="176"/>
      <c r="G59" s="176"/>
      <c r="H59" s="176"/>
      <c r="I59" s="176"/>
      <c r="J59" s="176"/>
      <c r="K59" s="176"/>
      <c r="L59" s="176"/>
      <c r="M59" s="176"/>
      <c r="N59" s="176"/>
      <c r="O59" s="176"/>
      <c r="P59" s="176"/>
      <c r="Q59" s="176"/>
      <c r="R59" s="176"/>
      <c r="S59" s="176"/>
      <c r="T59" s="176"/>
      <c r="U59" s="176"/>
      <c r="V59" s="176"/>
      <c r="W59" s="176"/>
      <c r="X59" s="176"/>
      <c r="Y59" s="176"/>
      <c r="Z59" s="176"/>
    </row>
    <row r="60" spans="1:26" ht="9.75" customHeight="1" x14ac:dyDescent="0.25">
      <c r="A60" s="176"/>
      <c r="B60" s="176"/>
      <c r="C60" s="176"/>
      <c r="D60" s="176"/>
      <c r="E60" s="176"/>
      <c r="F60" s="176"/>
      <c r="G60" s="176"/>
      <c r="H60" s="176"/>
      <c r="I60" s="176"/>
      <c r="J60" s="176"/>
      <c r="K60" s="176"/>
      <c r="L60" s="176"/>
      <c r="M60" s="176"/>
      <c r="N60" s="176"/>
      <c r="O60" s="176"/>
      <c r="P60" s="176"/>
      <c r="Q60" s="176"/>
      <c r="R60" s="176"/>
      <c r="S60" s="176"/>
      <c r="T60" s="176"/>
      <c r="U60" s="176"/>
      <c r="V60" s="176"/>
      <c r="W60" s="176"/>
      <c r="X60" s="176"/>
      <c r="Y60" s="176"/>
      <c r="Z60" s="176"/>
    </row>
    <row r="61" spans="1:26" ht="9.75" customHeight="1" x14ac:dyDescent="0.25">
      <c r="A61" s="176"/>
      <c r="B61" s="176"/>
      <c r="C61" s="176"/>
      <c r="D61" s="176"/>
      <c r="E61" s="176"/>
      <c r="F61" s="176"/>
      <c r="G61" s="176"/>
      <c r="H61" s="176"/>
      <c r="I61" s="176"/>
      <c r="J61" s="176"/>
      <c r="K61" s="176"/>
      <c r="L61" s="176"/>
      <c r="M61" s="176"/>
      <c r="N61" s="176"/>
      <c r="O61" s="176"/>
      <c r="P61" s="176"/>
      <c r="Q61" s="176"/>
      <c r="R61" s="176"/>
      <c r="S61" s="176"/>
      <c r="T61" s="176"/>
      <c r="U61" s="176"/>
      <c r="V61" s="176"/>
      <c r="W61" s="176"/>
      <c r="X61" s="176"/>
      <c r="Y61" s="176"/>
      <c r="Z61" s="176"/>
    </row>
    <row r="62" spans="1:26" ht="9.75" customHeight="1" x14ac:dyDescent="0.25">
      <c r="A62" s="176"/>
      <c r="B62" s="176"/>
      <c r="C62" s="176"/>
      <c r="D62" s="176"/>
      <c r="E62" s="176"/>
      <c r="F62" s="176"/>
      <c r="G62" s="176"/>
      <c r="H62" s="176"/>
      <c r="I62" s="176"/>
      <c r="J62" s="176"/>
      <c r="K62" s="176"/>
      <c r="L62" s="176"/>
      <c r="M62" s="176"/>
      <c r="N62" s="176"/>
      <c r="O62" s="176"/>
      <c r="P62" s="176"/>
      <c r="Q62" s="176"/>
      <c r="R62" s="176"/>
      <c r="S62" s="176"/>
      <c r="T62" s="176"/>
      <c r="U62" s="176"/>
      <c r="V62" s="176"/>
      <c r="W62" s="176"/>
      <c r="X62" s="176"/>
      <c r="Y62" s="176"/>
      <c r="Z62" s="176"/>
    </row>
    <row r="63" spans="1:26" ht="9.75" customHeight="1" x14ac:dyDescent="0.25">
      <c r="A63" s="176"/>
      <c r="B63" s="176"/>
      <c r="C63" s="176"/>
      <c r="D63" s="176"/>
      <c r="E63" s="176"/>
      <c r="F63" s="176"/>
      <c r="G63" s="176"/>
      <c r="H63" s="176"/>
      <c r="I63" s="176"/>
      <c r="J63" s="176"/>
      <c r="K63" s="176"/>
      <c r="L63" s="176"/>
      <c r="M63" s="176"/>
      <c r="N63" s="176"/>
      <c r="O63" s="176"/>
      <c r="P63" s="176"/>
      <c r="Q63" s="176"/>
      <c r="R63" s="176"/>
      <c r="S63" s="176"/>
      <c r="T63" s="176"/>
      <c r="U63" s="176"/>
      <c r="V63" s="176"/>
      <c r="W63" s="176"/>
      <c r="X63" s="176"/>
      <c r="Y63" s="176"/>
      <c r="Z63" s="176"/>
    </row>
    <row r="64" spans="1:26" ht="9.75" customHeight="1" x14ac:dyDescent="0.25">
      <c r="A64" s="176"/>
      <c r="B64" s="176"/>
      <c r="C64" s="176"/>
      <c r="D64" s="176"/>
      <c r="E64" s="176"/>
      <c r="F64" s="176"/>
      <c r="G64" s="176"/>
      <c r="H64" s="176"/>
      <c r="I64" s="176"/>
      <c r="J64" s="176"/>
      <c r="K64" s="176"/>
      <c r="L64" s="176"/>
      <c r="M64" s="176"/>
      <c r="N64" s="176"/>
      <c r="O64" s="176"/>
      <c r="P64" s="176"/>
      <c r="Q64" s="176"/>
      <c r="R64" s="176"/>
      <c r="S64" s="176"/>
      <c r="T64" s="176"/>
      <c r="U64" s="176"/>
      <c r="V64" s="176"/>
      <c r="W64" s="176"/>
      <c r="X64" s="176"/>
      <c r="Y64" s="176"/>
      <c r="Z64" s="176"/>
    </row>
    <row r="65" spans="1:26" ht="9.75" customHeight="1" x14ac:dyDescent="0.25">
      <c r="A65" s="176"/>
      <c r="B65" s="176"/>
      <c r="C65" s="176"/>
      <c r="D65" s="176"/>
      <c r="E65" s="176"/>
      <c r="F65" s="176"/>
      <c r="G65" s="176"/>
      <c r="H65" s="176"/>
      <c r="I65" s="176"/>
      <c r="J65" s="176"/>
      <c r="K65" s="176"/>
      <c r="L65" s="176"/>
      <c r="M65" s="176"/>
      <c r="N65" s="176"/>
      <c r="O65" s="176"/>
      <c r="P65" s="176"/>
      <c r="Q65" s="176"/>
      <c r="R65" s="176"/>
      <c r="S65" s="176"/>
      <c r="T65" s="176"/>
      <c r="U65" s="176"/>
      <c r="V65" s="176"/>
      <c r="W65" s="176"/>
      <c r="X65" s="176"/>
      <c r="Y65" s="176"/>
      <c r="Z65" s="176"/>
    </row>
    <row r="66" spans="1:26" ht="9.75" customHeight="1" x14ac:dyDescent="0.25">
      <c r="A66" s="176"/>
      <c r="B66" s="176"/>
      <c r="C66" s="176"/>
      <c r="D66" s="176"/>
      <c r="E66" s="176"/>
      <c r="F66" s="176"/>
      <c r="G66" s="176"/>
      <c r="H66" s="176"/>
      <c r="I66" s="176"/>
      <c r="J66" s="176"/>
      <c r="K66" s="176"/>
      <c r="L66" s="176"/>
      <c r="M66" s="176"/>
      <c r="N66" s="176"/>
      <c r="O66" s="176"/>
      <c r="P66" s="176"/>
      <c r="Q66" s="176"/>
      <c r="R66" s="176"/>
      <c r="S66" s="176"/>
      <c r="T66" s="176"/>
      <c r="U66" s="176"/>
      <c r="V66" s="176"/>
      <c r="W66" s="176"/>
      <c r="X66" s="176"/>
      <c r="Y66" s="176"/>
      <c r="Z66" s="176"/>
    </row>
    <row r="67" spans="1:26" ht="9.75" customHeight="1" x14ac:dyDescent="0.25">
      <c r="A67" s="176"/>
      <c r="B67" s="176"/>
      <c r="C67" s="176"/>
      <c r="D67" s="176"/>
      <c r="E67" s="176"/>
      <c r="F67" s="176"/>
      <c r="G67" s="176"/>
      <c r="H67" s="176"/>
      <c r="I67" s="176"/>
      <c r="J67" s="176"/>
      <c r="K67" s="176"/>
      <c r="L67" s="176"/>
      <c r="M67" s="176"/>
      <c r="N67" s="176"/>
      <c r="O67" s="176"/>
      <c r="P67" s="176"/>
      <c r="Q67" s="176"/>
      <c r="R67" s="176"/>
      <c r="S67" s="176"/>
      <c r="T67" s="176"/>
      <c r="U67" s="176"/>
      <c r="V67" s="176"/>
      <c r="W67" s="176"/>
      <c r="X67" s="176"/>
      <c r="Y67" s="176"/>
      <c r="Z67" s="176"/>
    </row>
    <row r="68" spans="1:26" ht="9.75" customHeight="1" x14ac:dyDescent="0.25">
      <c r="A68" s="176"/>
      <c r="B68" s="176"/>
      <c r="C68" s="176"/>
      <c r="D68" s="176"/>
      <c r="E68" s="176"/>
      <c r="F68" s="176"/>
      <c r="G68" s="176"/>
      <c r="H68" s="176"/>
      <c r="I68" s="176"/>
      <c r="J68" s="176"/>
      <c r="K68" s="176"/>
      <c r="L68" s="176"/>
      <c r="M68" s="176"/>
      <c r="N68" s="176"/>
      <c r="O68" s="176"/>
      <c r="P68" s="176"/>
      <c r="Q68" s="176"/>
      <c r="R68" s="176"/>
      <c r="S68" s="176"/>
      <c r="T68" s="176"/>
      <c r="U68" s="176"/>
      <c r="V68" s="176"/>
      <c r="W68" s="176"/>
      <c r="X68" s="176"/>
      <c r="Y68" s="176"/>
      <c r="Z68" s="176"/>
    </row>
    <row r="69" spans="1:26" ht="9.75" customHeight="1" x14ac:dyDescent="0.25">
      <c r="A69" s="176"/>
      <c r="B69" s="176"/>
      <c r="C69" s="176"/>
      <c r="D69" s="176"/>
      <c r="E69" s="176"/>
      <c r="F69" s="176"/>
      <c r="G69" s="176"/>
      <c r="H69" s="176"/>
      <c r="I69" s="176"/>
      <c r="J69" s="176"/>
      <c r="K69" s="176"/>
      <c r="L69" s="176"/>
      <c r="M69" s="176"/>
      <c r="N69" s="176"/>
      <c r="O69" s="176"/>
      <c r="P69" s="176"/>
      <c r="Q69" s="176"/>
      <c r="R69" s="176"/>
      <c r="S69" s="176"/>
      <c r="T69" s="176"/>
      <c r="U69" s="176"/>
      <c r="V69" s="176"/>
      <c r="W69" s="176"/>
      <c r="X69" s="176"/>
      <c r="Y69" s="176"/>
      <c r="Z69" s="176"/>
    </row>
    <row r="70" spans="1:26" ht="9.75" customHeight="1" x14ac:dyDescent="0.25">
      <c r="A70" s="176"/>
      <c r="B70" s="176"/>
      <c r="C70" s="176"/>
      <c r="D70" s="176"/>
      <c r="E70" s="176"/>
      <c r="F70" s="176"/>
      <c r="G70" s="176"/>
      <c r="H70" s="176"/>
      <c r="I70" s="176"/>
      <c r="J70" s="176"/>
      <c r="K70" s="176"/>
      <c r="L70" s="176"/>
      <c r="M70" s="176"/>
      <c r="N70" s="176"/>
      <c r="O70" s="176"/>
      <c r="P70" s="176"/>
      <c r="Q70" s="176"/>
      <c r="R70" s="176"/>
      <c r="S70" s="176"/>
      <c r="T70" s="176"/>
      <c r="U70" s="176"/>
      <c r="V70" s="176"/>
      <c r="W70" s="176"/>
      <c r="X70" s="176"/>
      <c r="Y70" s="176"/>
      <c r="Z70" s="176"/>
    </row>
    <row r="71" spans="1:26" ht="9.75" customHeight="1" x14ac:dyDescent="0.25">
      <c r="A71" s="176"/>
      <c r="B71" s="176"/>
      <c r="C71" s="176"/>
      <c r="D71" s="176"/>
      <c r="E71" s="176"/>
      <c r="F71" s="176"/>
      <c r="G71" s="176"/>
      <c r="H71" s="176"/>
      <c r="I71" s="176"/>
      <c r="J71" s="176"/>
      <c r="K71" s="176"/>
      <c r="L71" s="176"/>
      <c r="M71" s="176"/>
      <c r="N71" s="176"/>
      <c r="O71" s="176"/>
      <c r="P71" s="176"/>
      <c r="Q71" s="176"/>
      <c r="R71" s="176"/>
      <c r="S71" s="176"/>
      <c r="T71" s="176"/>
      <c r="U71" s="176"/>
      <c r="V71" s="176"/>
      <c r="W71" s="176"/>
      <c r="X71" s="176"/>
      <c r="Y71" s="176"/>
      <c r="Z71" s="176"/>
    </row>
    <row r="72" spans="1:26" ht="9.75" customHeight="1" x14ac:dyDescent="0.25">
      <c r="A72" s="176"/>
      <c r="B72" s="176"/>
      <c r="C72" s="176"/>
      <c r="D72" s="176"/>
      <c r="E72" s="176"/>
      <c r="F72" s="176"/>
      <c r="G72" s="176"/>
      <c r="H72" s="176"/>
      <c r="I72" s="176"/>
      <c r="J72" s="176"/>
      <c r="K72" s="176"/>
      <c r="L72" s="176"/>
      <c r="M72" s="176"/>
      <c r="N72" s="176"/>
      <c r="O72" s="176"/>
      <c r="P72" s="176"/>
      <c r="Q72" s="176"/>
      <c r="R72" s="176"/>
      <c r="S72" s="176"/>
      <c r="T72" s="176"/>
      <c r="U72" s="176"/>
      <c r="V72" s="176"/>
      <c r="W72" s="176"/>
      <c r="X72" s="176"/>
      <c r="Y72" s="176"/>
      <c r="Z72" s="176"/>
    </row>
    <row r="73" spans="1:26" ht="9.75" customHeight="1" x14ac:dyDescent="0.25">
      <c r="A73" s="176"/>
      <c r="B73" s="176"/>
      <c r="C73" s="176"/>
      <c r="D73" s="176"/>
      <c r="E73" s="176"/>
      <c r="F73" s="176"/>
      <c r="G73" s="176"/>
      <c r="H73" s="176"/>
      <c r="I73" s="176"/>
      <c r="J73" s="176"/>
      <c r="K73" s="176"/>
      <c r="L73" s="176"/>
      <c r="M73" s="176"/>
      <c r="N73" s="176"/>
      <c r="O73" s="176"/>
      <c r="P73" s="176"/>
      <c r="Q73" s="176"/>
      <c r="R73" s="176"/>
      <c r="S73" s="176"/>
      <c r="T73" s="176"/>
      <c r="U73" s="176"/>
      <c r="V73" s="176"/>
      <c r="W73" s="176"/>
      <c r="X73" s="176"/>
      <c r="Y73" s="176"/>
      <c r="Z73" s="176"/>
    </row>
    <row r="74" spans="1:26" ht="9.75" customHeight="1" x14ac:dyDescent="0.25">
      <c r="A74" s="176"/>
      <c r="B74" s="176"/>
      <c r="C74" s="176"/>
      <c r="D74" s="176"/>
      <c r="E74" s="176"/>
      <c r="F74" s="176"/>
      <c r="G74" s="176"/>
      <c r="H74" s="176"/>
      <c r="I74" s="176"/>
      <c r="J74" s="176"/>
      <c r="K74" s="176"/>
      <c r="L74" s="176"/>
      <c r="M74" s="176"/>
      <c r="N74" s="176"/>
      <c r="O74" s="176"/>
      <c r="P74" s="176"/>
      <c r="Q74" s="176"/>
      <c r="R74" s="176"/>
      <c r="S74" s="176"/>
      <c r="T74" s="176"/>
      <c r="U74" s="176"/>
      <c r="V74" s="176"/>
      <c r="W74" s="176"/>
      <c r="X74" s="176"/>
      <c r="Y74" s="176"/>
      <c r="Z74" s="176"/>
    </row>
    <row r="75" spans="1:26" ht="9.75" customHeight="1" x14ac:dyDescent="0.25">
      <c r="A75" s="176"/>
      <c r="B75" s="176"/>
      <c r="C75" s="176"/>
      <c r="D75" s="176"/>
      <c r="E75" s="176"/>
      <c r="F75" s="176"/>
      <c r="G75" s="176"/>
      <c r="H75" s="176"/>
      <c r="I75" s="176"/>
      <c r="J75" s="176"/>
      <c r="K75" s="176"/>
      <c r="L75" s="176"/>
      <c r="M75" s="176"/>
      <c r="N75" s="176"/>
      <c r="O75" s="176"/>
      <c r="P75" s="176"/>
      <c r="Q75" s="176"/>
      <c r="R75" s="176"/>
      <c r="S75" s="176"/>
      <c r="T75" s="176"/>
      <c r="U75" s="176"/>
      <c r="V75" s="176"/>
      <c r="W75" s="176"/>
      <c r="X75" s="176"/>
      <c r="Y75" s="176"/>
      <c r="Z75" s="176"/>
    </row>
    <row r="76" spans="1:26" ht="9.75" customHeight="1" x14ac:dyDescent="0.25">
      <c r="A76" s="176"/>
      <c r="B76" s="176"/>
      <c r="C76" s="176"/>
      <c r="D76" s="176"/>
      <c r="E76" s="176"/>
      <c r="F76" s="176"/>
      <c r="G76" s="176"/>
      <c r="H76" s="176"/>
      <c r="I76" s="176"/>
      <c r="J76" s="176"/>
      <c r="K76" s="176"/>
      <c r="L76" s="176"/>
      <c r="M76" s="176"/>
      <c r="N76" s="176"/>
      <c r="O76" s="176"/>
      <c r="P76" s="176"/>
      <c r="Q76" s="176"/>
      <c r="R76" s="176"/>
      <c r="S76" s="176"/>
      <c r="T76" s="176"/>
      <c r="U76" s="176"/>
      <c r="V76" s="176"/>
      <c r="W76" s="176"/>
      <c r="X76" s="176"/>
      <c r="Y76" s="176"/>
      <c r="Z76" s="176"/>
    </row>
    <row r="77" spans="1:26" ht="9.75" customHeight="1" x14ac:dyDescent="0.25">
      <c r="A77" s="176"/>
      <c r="B77" s="176"/>
      <c r="C77" s="176"/>
      <c r="D77" s="176"/>
      <c r="E77" s="176"/>
      <c r="F77" s="176"/>
      <c r="G77" s="176"/>
      <c r="H77" s="176"/>
      <c r="I77" s="176"/>
      <c r="J77" s="176"/>
      <c r="K77" s="176"/>
      <c r="L77" s="176"/>
      <c r="M77" s="176"/>
      <c r="N77" s="176"/>
      <c r="O77" s="176"/>
      <c r="P77" s="176"/>
      <c r="Q77" s="176"/>
      <c r="R77" s="176"/>
      <c r="S77" s="176"/>
      <c r="T77" s="176"/>
      <c r="U77" s="176"/>
      <c r="V77" s="176"/>
      <c r="W77" s="176"/>
      <c r="X77" s="176"/>
      <c r="Y77" s="176"/>
      <c r="Z77" s="176"/>
    </row>
    <row r="78" spans="1:26" ht="9.75" customHeight="1" x14ac:dyDescent="0.25">
      <c r="A78" s="176"/>
      <c r="B78" s="176"/>
      <c r="C78" s="176"/>
      <c r="D78" s="176"/>
      <c r="E78" s="176"/>
      <c r="F78" s="176"/>
      <c r="G78" s="176"/>
      <c r="H78" s="176"/>
      <c r="I78" s="176"/>
      <c r="J78" s="176"/>
      <c r="K78" s="176"/>
      <c r="L78" s="176"/>
      <c r="M78" s="176"/>
      <c r="N78" s="176"/>
      <c r="O78" s="176"/>
      <c r="P78" s="176"/>
      <c r="Q78" s="176"/>
      <c r="R78" s="176"/>
      <c r="S78" s="176"/>
      <c r="T78" s="176"/>
      <c r="U78" s="176"/>
      <c r="V78" s="176"/>
      <c r="W78" s="176"/>
      <c r="X78" s="176"/>
      <c r="Y78" s="176"/>
      <c r="Z78" s="176"/>
    </row>
    <row r="79" spans="1:26" ht="9.75" customHeight="1" x14ac:dyDescent="0.25">
      <c r="A79" s="176"/>
      <c r="B79" s="176"/>
      <c r="C79" s="176"/>
      <c r="D79" s="176"/>
      <c r="E79" s="176"/>
      <c r="F79" s="176"/>
      <c r="G79" s="176"/>
      <c r="H79" s="176"/>
      <c r="I79" s="176"/>
      <c r="J79" s="176"/>
      <c r="K79" s="176"/>
      <c r="L79" s="176"/>
      <c r="M79" s="176"/>
      <c r="N79" s="176"/>
      <c r="O79" s="176"/>
      <c r="P79" s="176"/>
      <c r="Q79" s="176"/>
      <c r="R79" s="176"/>
      <c r="S79" s="176"/>
      <c r="T79" s="176"/>
      <c r="U79" s="176"/>
      <c r="V79" s="176"/>
      <c r="W79" s="176"/>
      <c r="X79" s="176"/>
      <c r="Y79" s="176"/>
      <c r="Z79" s="176"/>
    </row>
    <row r="80" spans="1:26" ht="9.75" customHeight="1" x14ac:dyDescent="0.25">
      <c r="A80" s="176"/>
      <c r="B80" s="176"/>
      <c r="C80" s="176"/>
      <c r="D80" s="176"/>
      <c r="E80" s="176"/>
      <c r="F80" s="176"/>
      <c r="G80" s="176"/>
      <c r="H80" s="176"/>
      <c r="I80" s="176"/>
      <c r="J80" s="176"/>
      <c r="K80" s="176"/>
      <c r="L80" s="176"/>
      <c r="M80" s="176"/>
      <c r="N80" s="176"/>
      <c r="O80" s="176"/>
      <c r="P80" s="176"/>
      <c r="Q80" s="176"/>
      <c r="R80" s="176"/>
      <c r="S80" s="176"/>
      <c r="T80" s="176"/>
      <c r="U80" s="176"/>
      <c r="V80" s="176"/>
      <c r="W80" s="176"/>
      <c r="X80" s="176"/>
      <c r="Y80" s="176"/>
      <c r="Z80" s="176"/>
    </row>
    <row r="81" spans="1:26" ht="9.75" customHeight="1" x14ac:dyDescent="0.25">
      <c r="A81" s="176"/>
      <c r="B81" s="176"/>
      <c r="C81" s="176"/>
      <c r="D81" s="176"/>
      <c r="E81" s="176"/>
      <c r="F81" s="176"/>
      <c r="G81" s="176"/>
      <c r="H81" s="176"/>
      <c r="I81" s="176"/>
      <c r="J81" s="176"/>
      <c r="K81" s="176"/>
      <c r="L81" s="176"/>
      <c r="M81" s="176"/>
      <c r="N81" s="176"/>
      <c r="O81" s="176"/>
      <c r="P81" s="176"/>
      <c r="Q81" s="176"/>
      <c r="R81" s="176"/>
      <c r="S81" s="176"/>
      <c r="T81" s="176"/>
      <c r="U81" s="176"/>
      <c r="V81" s="176"/>
      <c r="W81" s="176"/>
      <c r="X81" s="176"/>
      <c r="Y81" s="176"/>
      <c r="Z81" s="176"/>
    </row>
    <row r="82" spans="1:26" ht="9.75" customHeight="1" x14ac:dyDescent="0.25">
      <c r="A82" s="176"/>
      <c r="B82" s="176"/>
      <c r="C82" s="176"/>
      <c r="D82" s="176"/>
      <c r="E82" s="176"/>
      <c r="F82" s="176"/>
      <c r="G82" s="176"/>
      <c r="H82" s="176"/>
      <c r="I82" s="176"/>
      <c r="J82" s="176"/>
      <c r="K82" s="176"/>
      <c r="L82" s="176"/>
      <c r="M82" s="176"/>
      <c r="N82" s="176"/>
      <c r="O82" s="176"/>
      <c r="P82" s="176"/>
      <c r="Q82" s="176"/>
      <c r="R82" s="176"/>
      <c r="S82" s="176"/>
      <c r="T82" s="176"/>
      <c r="U82" s="176"/>
      <c r="V82" s="176"/>
      <c r="W82" s="176"/>
      <c r="X82" s="176"/>
      <c r="Y82" s="176"/>
      <c r="Z82" s="176"/>
    </row>
    <row r="83" spans="1:26" ht="9.75" customHeight="1" x14ac:dyDescent="0.25">
      <c r="A83" s="176"/>
      <c r="B83" s="176"/>
      <c r="C83" s="176"/>
      <c r="D83" s="176"/>
      <c r="E83" s="176"/>
      <c r="F83" s="176"/>
      <c r="G83" s="176"/>
      <c r="H83" s="176"/>
      <c r="I83" s="176"/>
      <c r="J83" s="176"/>
      <c r="K83" s="176"/>
      <c r="L83" s="176"/>
      <c r="M83" s="176"/>
      <c r="N83" s="176"/>
      <c r="O83" s="176"/>
      <c r="P83" s="176"/>
      <c r="Q83" s="176"/>
      <c r="R83" s="176"/>
      <c r="S83" s="176"/>
      <c r="T83" s="176"/>
      <c r="U83" s="176"/>
      <c r="V83" s="176"/>
      <c r="W83" s="176"/>
      <c r="X83" s="176"/>
      <c r="Y83" s="176"/>
      <c r="Z83" s="176"/>
    </row>
    <row r="84" spans="1:26" ht="9.75" customHeight="1" x14ac:dyDescent="0.25">
      <c r="A84" s="176"/>
      <c r="B84" s="176"/>
      <c r="C84" s="176"/>
      <c r="D84" s="176"/>
      <c r="E84" s="176"/>
      <c r="F84" s="176"/>
      <c r="G84" s="176"/>
      <c r="H84" s="176"/>
      <c r="I84" s="176"/>
      <c r="J84" s="176"/>
      <c r="K84" s="176"/>
      <c r="L84" s="176"/>
      <c r="M84" s="176"/>
      <c r="N84" s="176"/>
      <c r="O84" s="176"/>
      <c r="P84" s="176"/>
      <c r="Q84" s="176"/>
      <c r="R84" s="176"/>
      <c r="S84" s="176"/>
      <c r="T84" s="176"/>
      <c r="U84" s="176"/>
      <c r="V84" s="176"/>
      <c r="W84" s="176"/>
      <c r="X84" s="176"/>
      <c r="Y84" s="176"/>
      <c r="Z84" s="176"/>
    </row>
    <row r="85" spans="1:26" ht="9.75" customHeight="1" x14ac:dyDescent="0.25">
      <c r="A85" s="176"/>
      <c r="B85" s="176"/>
      <c r="C85" s="176"/>
      <c r="D85" s="176"/>
      <c r="E85" s="176"/>
      <c r="F85" s="176"/>
      <c r="G85" s="176"/>
      <c r="H85" s="176"/>
      <c r="I85" s="176"/>
      <c r="J85" s="176"/>
      <c r="K85" s="176"/>
      <c r="L85" s="176"/>
      <c r="M85" s="176"/>
      <c r="N85" s="176"/>
      <c r="O85" s="176"/>
      <c r="P85" s="176"/>
      <c r="Q85" s="176"/>
      <c r="R85" s="176"/>
      <c r="S85" s="176"/>
      <c r="T85" s="176"/>
      <c r="U85" s="176"/>
      <c r="V85" s="176"/>
      <c r="W85" s="176"/>
      <c r="X85" s="176"/>
      <c r="Y85" s="176"/>
      <c r="Z85" s="176"/>
    </row>
    <row r="86" spans="1:26" ht="9.75" customHeight="1" x14ac:dyDescent="0.25">
      <c r="A86" s="176"/>
      <c r="B86" s="176"/>
      <c r="C86" s="176"/>
      <c r="D86" s="176"/>
      <c r="E86" s="176"/>
      <c r="F86" s="176"/>
      <c r="G86" s="176"/>
      <c r="H86" s="176"/>
      <c r="I86" s="176"/>
      <c r="J86" s="176"/>
      <c r="K86" s="176"/>
      <c r="L86" s="176"/>
      <c r="M86" s="176"/>
      <c r="N86" s="176"/>
      <c r="O86" s="176"/>
      <c r="P86" s="176"/>
      <c r="Q86" s="176"/>
      <c r="R86" s="176"/>
      <c r="S86" s="176"/>
      <c r="T86" s="176"/>
      <c r="U86" s="176"/>
      <c r="V86" s="176"/>
      <c r="W86" s="176"/>
      <c r="X86" s="176"/>
      <c r="Y86" s="176"/>
      <c r="Z86" s="176"/>
    </row>
    <row r="87" spans="1:26" ht="9.75" customHeight="1" x14ac:dyDescent="0.25">
      <c r="A87" s="176"/>
      <c r="B87" s="176"/>
      <c r="C87" s="176"/>
      <c r="D87" s="176"/>
      <c r="E87" s="176"/>
      <c r="F87" s="176"/>
      <c r="G87" s="176"/>
      <c r="H87" s="176"/>
      <c r="I87" s="176"/>
      <c r="J87" s="176"/>
      <c r="K87" s="176"/>
      <c r="L87" s="176"/>
      <c r="M87" s="176"/>
      <c r="N87" s="176"/>
      <c r="O87" s="176"/>
      <c r="P87" s="176"/>
      <c r="Q87" s="176"/>
      <c r="R87" s="176"/>
      <c r="S87" s="176"/>
      <c r="T87" s="176"/>
      <c r="U87" s="176"/>
      <c r="V87" s="176"/>
      <c r="W87" s="176"/>
      <c r="X87" s="176"/>
      <c r="Y87" s="176"/>
      <c r="Z87" s="176"/>
    </row>
    <row r="88" spans="1:26" ht="9.75" customHeight="1" x14ac:dyDescent="0.25">
      <c r="A88" s="176"/>
      <c r="B88" s="176"/>
      <c r="C88" s="176"/>
      <c r="D88" s="176"/>
      <c r="E88" s="176"/>
      <c r="F88" s="176"/>
      <c r="G88" s="176"/>
      <c r="H88" s="176"/>
      <c r="I88" s="176"/>
      <c r="J88" s="176"/>
      <c r="K88" s="176"/>
      <c r="L88" s="176"/>
      <c r="M88" s="176"/>
      <c r="N88" s="176"/>
      <c r="O88" s="176"/>
      <c r="P88" s="176"/>
      <c r="Q88" s="176"/>
      <c r="R88" s="176"/>
      <c r="S88" s="176"/>
      <c r="T88" s="176"/>
      <c r="U88" s="176"/>
      <c r="V88" s="176"/>
      <c r="W88" s="176"/>
      <c r="X88" s="176"/>
      <c r="Y88" s="176"/>
      <c r="Z88" s="176"/>
    </row>
    <row r="89" spans="1:26" ht="9.75" customHeight="1" x14ac:dyDescent="0.25">
      <c r="A89" s="176"/>
      <c r="B89" s="176"/>
      <c r="C89" s="176"/>
      <c r="D89" s="176"/>
      <c r="E89" s="176"/>
      <c r="F89" s="176"/>
      <c r="G89" s="176"/>
      <c r="H89" s="176"/>
      <c r="I89" s="176"/>
      <c r="J89" s="176"/>
      <c r="K89" s="176"/>
      <c r="L89" s="176"/>
      <c r="M89" s="176"/>
      <c r="N89" s="176"/>
      <c r="O89" s="176"/>
      <c r="P89" s="176"/>
      <c r="Q89" s="176"/>
      <c r="R89" s="176"/>
      <c r="S89" s="176"/>
      <c r="T89" s="176"/>
      <c r="U89" s="176"/>
      <c r="V89" s="176"/>
      <c r="W89" s="176"/>
      <c r="X89" s="176"/>
      <c r="Y89" s="176"/>
      <c r="Z89" s="176"/>
    </row>
    <row r="90" spans="1:26" ht="9.75" customHeight="1" x14ac:dyDescent="0.25">
      <c r="A90" s="176"/>
      <c r="B90" s="176"/>
      <c r="C90" s="176"/>
      <c r="D90" s="176"/>
      <c r="E90" s="176"/>
      <c r="F90" s="176"/>
      <c r="G90" s="176"/>
      <c r="H90" s="176"/>
      <c r="I90" s="176"/>
      <c r="J90" s="176"/>
      <c r="K90" s="176"/>
      <c r="L90" s="176"/>
      <c r="M90" s="176"/>
      <c r="N90" s="176"/>
      <c r="O90" s="176"/>
      <c r="P90" s="176"/>
      <c r="Q90" s="176"/>
      <c r="R90" s="176"/>
      <c r="S90" s="176"/>
      <c r="T90" s="176"/>
      <c r="U90" s="176"/>
      <c r="V90" s="176"/>
      <c r="W90" s="176"/>
      <c r="X90" s="176"/>
      <c r="Y90" s="176"/>
      <c r="Z90" s="176"/>
    </row>
    <row r="91" spans="1:26" ht="9.75" customHeight="1" x14ac:dyDescent="0.25">
      <c r="A91" s="176"/>
      <c r="B91" s="176"/>
      <c r="C91" s="176"/>
      <c r="D91" s="176"/>
      <c r="E91" s="176"/>
      <c r="F91" s="176"/>
      <c r="G91" s="176"/>
      <c r="H91" s="176"/>
      <c r="I91" s="176"/>
      <c r="J91" s="176"/>
      <c r="K91" s="176"/>
      <c r="L91" s="176"/>
      <c r="M91" s="176"/>
      <c r="N91" s="176"/>
      <c r="O91" s="176"/>
      <c r="P91" s="176"/>
      <c r="Q91" s="176"/>
      <c r="R91" s="176"/>
      <c r="S91" s="176"/>
      <c r="T91" s="176"/>
      <c r="U91" s="176"/>
      <c r="V91" s="176"/>
      <c r="W91" s="176"/>
      <c r="X91" s="176"/>
      <c r="Y91" s="176"/>
      <c r="Z91" s="176"/>
    </row>
    <row r="92" spans="1:26" ht="9.75" customHeight="1" x14ac:dyDescent="0.25">
      <c r="A92" s="176"/>
      <c r="B92" s="176"/>
      <c r="C92" s="176"/>
      <c r="D92" s="176"/>
      <c r="E92" s="176"/>
      <c r="F92" s="176"/>
      <c r="G92" s="176"/>
      <c r="H92" s="176"/>
      <c r="I92" s="176"/>
      <c r="J92" s="176"/>
      <c r="K92" s="176"/>
      <c r="L92" s="176"/>
      <c r="M92" s="176"/>
      <c r="N92" s="176"/>
      <c r="O92" s="176"/>
      <c r="P92" s="176"/>
      <c r="Q92" s="176"/>
      <c r="R92" s="176"/>
      <c r="S92" s="176"/>
      <c r="T92" s="176"/>
      <c r="U92" s="176"/>
      <c r="V92" s="176"/>
      <c r="W92" s="176"/>
      <c r="X92" s="176"/>
      <c r="Y92" s="176"/>
      <c r="Z92" s="176"/>
    </row>
    <row r="93" spans="1:26" ht="9.75" customHeight="1" x14ac:dyDescent="0.25">
      <c r="A93" s="176"/>
      <c r="B93" s="176"/>
      <c r="C93" s="176"/>
      <c r="D93" s="176"/>
      <c r="E93" s="176"/>
      <c r="F93" s="176"/>
      <c r="G93" s="176"/>
      <c r="H93" s="176"/>
      <c r="I93" s="176"/>
      <c r="J93" s="176"/>
      <c r="K93" s="176"/>
      <c r="L93" s="176"/>
      <c r="M93" s="176"/>
      <c r="N93" s="176"/>
      <c r="O93" s="176"/>
      <c r="P93" s="176"/>
      <c r="Q93" s="176"/>
      <c r="R93" s="176"/>
      <c r="S93" s="176"/>
      <c r="T93" s="176"/>
      <c r="U93" s="176"/>
      <c r="V93" s="176"/>
      <c r="W93" s="176"/>
      <c r="X93" s="176"/>
      <c r="Y93" s="176"/>
      <c r="Z93" s="176"/>
    </row>
    <row r="94" spans="1:26" ht="9.75" customHeight="1" x14ac:dyDescent="0.25">
      <c r="A94" s="176"/>
      <c r="B94" s="176"/>
      <c r="C94" s="176"/>
      <c r="D94" s="176"/>
      <c r="E94" s="176"/>
      <c r="F94" s="176"/>
      <c r="G94" s="176"/>
      <c r="H94" s="176"/>
      <c r="I94" s="176"/>
      <c r="J94" s="176"/>
      <c r="K94" s="176"/>
      <c r="L94" s="176"/>
      <c r="M94" s="176"/>
      <c r="N94" s="176"/>
      <c r="O94" s="176"/>
      <c r="P94" s="176"/>
      <c r="Q94" s="176"/>
      <c r="R94" s="176"/>
      <c r="S94" s="176"/>
      <c r="T94" s="176"/>
      <c r="U94" s="176"/>
      <c r="V94" s="176"/>
      <c r="W94" s="176"/>
      <c r="X94" s="176"/>
      <c r="Y94" s="176"/>
      <c r="Z94" s="176"/>
    </row>
    <row r="95" spans="1:26" ht="9.75" customHeight="1" x14ac:dyDescent="0.25">
      <c r="A95" s="176"/>
      <c r="B95" s="176"/>
      <c r="C95" s="176"/>
      <c r="D95" s="176"/>
      <c r="E95" s="176"/>
      <c r="F95" s="176"/>
      <c r="G95" s="176"/>
      <c r="H95" s="176"/>
      <c r="I95" s="176"/>
      <c r="J95" s="176"/>
      <c r="K95" s="176"/>
      <c r="L95" s="176"/>
      <c r="M95" s="176"/>
      <c r="N95" s="176"/>
      <c r="O95" s="176"/>
      <c r="P95" s="176"/>
      <c r="Q95" s="176"/>
      <c r="R95" s="176"/>
      <c r="S95" s="176"/>
      <c r="T95" s="176"/>
      <c r="U95" s="176"/>
      <c r="V95" s="176"/>
      <c r="W95" s="176"/>
      <c r="X95" s="176"/>
      <c r="Y95" s="176"/>
      <c r="Z95" s="176"/>
    </row>
    <row r="96" spans="1:26" ht="9.75" customHeight="1" x14ac:dyDescent="0.25">
      <c r="A96" s="176"/>
      <c r="B96" s="176"/>
      <c r="C96" s="176"/>
      <c r="D96" s="176"/>
      <c r="E96" s="176"/>
      <c r="F96" s="176"/>
      <c r="G96" s="176"/>
      <c r="H96" s="176"/>
      <c r="I96" s="176"/>
      <c r="J96" s="176"/>
      <c r="K96" s="176"/>
      <c r="L96" s="176"/>
      <c r="M96" s="176"/>
      <c r="N96" s="176"/>
      <c r="O96" s="176"/>
      <c r="P96" s="176"/>
      <c r="Q96" s="176"/>
      <c r="R96" s="176"/>
      <c r="S96" s="176"/>
      <c r="T96" s="176"/>
      <c r="U96" s="176"/>
      <c r="V96" s="176"/>
      <c r="W96" s="176"/>
      <c r="X96" s="176"/>
      <c r="Y96" s="176"/>
      <c r="Z96" s="176"/>
    </row>
    <row r="97" spans="1:26" ht="9.75" customHeight="1" x14ac:dyDescent="0.25">
      <c r="A97" s="176"/>
      <c r="B97" s="176"/>
      <c r="C97" s="176"/>
      <c r="D97" s="176"/>
      <c r="E97" s="176"/>
      <c r="F97" s="176"/>
      <c r="G97" s="176"/>
      <c r="H97" s="176"/>
      <c r="I97" s="176"/>
      <c r="J97" s="176"/>
      <c r="K97" s="176"/>
      <c r="L97" s="176"/>
      <c r="M97" s="176"/>
      <c r="N97" s="176"/>
      <c r="O97" s="176"/>
      <c r="P97" s="176"/>
      <c r="Q97" s="176"/>
      <c r="R97" s="176"/>
      <c r="S97" s="176"/>
      <c r="T97" s="176"/>
      <c r="U97" s="176"/>
      <c r="V97" s="176"/>
      <c r="W97" s="176"/>
      <c r="X97" s="176"/>
      <c r="Y97" s="176"/>
      <c r="Z97" s="176"/>
    </row>
    <row r="98" spans="1:26" ht="9.75" customHeight="1" x14ac:dyDescent="0.25">
      <c r="A98" s="176"/>
      <c r="B98" s="176"/>
      <c r="C98" s="176"/>
      <c r="D98" s="176"/>
      <c r="E98" s="176"/>
      <c r="F98" s="176"/>
      <c r="G98" s="176"/>
      <c r="H98" s="176"/>
      <c r="I98" s="176"/>
      <c r="J98" s="176"/>
      <c r="K98" s="176"/>
      <c r="L98" s="176"/>
      <c r="M98" s="176"/>
      <c r="N98" s="176"/>
      <c r="O98" s="176"/>
      <c r="P98" s="176"/>
      <c r="Q98" s="176"/>
      <c r="R98" s="176"/>
      <c r="S98" s="176"/>
      <c r="T98" s="176"/>
      <c r="U98" s="176"/>
      <c r="V98" s="176"/>
      <c r="W98" s="176"/>
      <c r="X98" s="176"/>
      <c r="Y98" s="176"/>
      <c r="Z98" s="176"/>
    </row>
    <row r="99" spans="1:26" ht="9.75" customHeight="1" x14ac:dyDescent="0.25">
      <c r="A99" s="176"/>
      <c r="B99" s="176"/>
      <c r="C99" s="176"/>
      <c r="D99" s="176"/>
      <c r="E99" s="176"/>
      <c r="F99" s="176"/>
      <c r="G99" s="176"/>
      <c r="H99" s="176"/>
      <c r="I99" s="176"/>
      <c r="J99" s="176"/>
      <c r="K99" s="176"/>
      <c r="L99" s="176"/>
      <c r="M99" s="176"/>
      <c r="N99" s="176"/>
      <c r="O99" s="176"/>
      <c r="P99" s="176"/>
      <c r="Q99" s="176"/>
      <c r="R99" s="176"/>
      <c r="S99" s="176"/>
      <c r="T99" s="176"/>
      <c r="U99" s="176"/>
      <c r="V99" s="176"/>
      <c r="W99" s="176"/>
      <c r="X99" s="176"/>
      <c r="Y99" s="176"/>
      <c r="Z99" s="176"/>
    </row>
    <row r="100" spans="1:26" ht="9.75" customHeight="1" x14ac:dyDescent="0.25">
      <c r="A100" s="176"/>
      <c r="B100" s="176"/>
      <c r="C100" s="176"/>
      <c r="D100" s="176"/>
      <c r="E100" s="176"/>
      <c r="F100" s="176"/>
      <c r="G100" s="176"/>
      <c r="H100" s="176"/>
      <c r="I100" s="176"/>
      <c r="J100" s="176"/>
      <c r="K100" s="176"/>
      <c r="L100" s="176"/>
      <c r="M100" s="176"/>
      <c r="N100" s="176"/>
      <c r="O100" s="176"/>
      <c r="P100" s="176"/>
      <c r="Q100" s="176"/>
      <c r="R100" s="176"/>
      <c r="S100" s="176"/>
      <c r="T100" s="176"/>
      <c r="U100" s="176"/>
      <c r="V100" s="176"/>
      <c r="W100" s="176"/>
      <c r="X100" s="176"/>
      <c r="Y100" s="176"/>
      <c r="Z100" s="176"/>
    </row>
    <row r="101" spans="1:26" ht="9.75" customHeight="1" x14ac:dyDescent="0.25">
      <c r="A101" s="176"/>
      <c r="B101" s="176"/>
      <c r="C101" s="176"/>
      <c r="D101" s="176"/>
      <c r="E101" s="176"/>
      <c r="F101" s="176"/>
      <c r="G101" s="176"/>
      <c r="H101" s="176"/>
      <c r="I101" s="176"/>
      <c r="J101" s="176"/>
      <c r="K101" s="176"/>
      <c r="L101" s="176"/>
      <c r="M101" s="176"/>
      <c r="N101" s="176"/>
      <c r="O101" s="176"/>
      <c r="P101" s="176"/>
      <c r="Q101" s="176"/>
      <c r="R101" s="176"/>
      <c r="S101" s="176"/>
      <c r="T101" s="176"/>
      <c r="U101" s="176"/>
      <c r="V101" s="176"/>
      <c r="W101" s="176"/>
      <c r="X101" s="176"/>
      <c r="Y101" s="176"/>
      <c r="Z101" s="176"/>
    </row>
    <row r="102" spans="1:26" ht="9.75" customHeight="1" x14ac:dyDescent="0.25">
      <c r="A102" s="176"/>
      <c r="B102" s="176"/>
      <c r="C102" s="176"/>
      <c r="D102" s="176"/>
      <c r="E102" s="176"/>
      <c r="F102" s="176"/>
      <c r="G102" s="176"/>
      <c r="H102" s="176"/>
      <c r="I102" s="176"/>
      <c r="J102" s="176"/>
      <c r="K102" s="176"/>
      <c r="L102" s="176"/>
      <c r="M102" s="176"/>
      <c r="N102" s="176"/>
      <c r="O102" s="176"/>
      <c r="P102" s="176"/>
      <c r="Q102" s="176"/>
      <c r="R102" s="176"/>
      <c r="S102" s="176"/>
      <c r="T102" s="176"/>
      <c r="U102" s="176"/>
      <c r="V102" s="176"/>
      <c r="W102" s="176"/>
      <c r="X102" s="176"/>
      <c r="Y102" s="176"/>
      <c r="Z102" s="176"/>
    </row>
    <row r="103" spans="1:26" ht="9.75" customHeight="1" x14ac:dyDescent="0.25">
      <c r="A103" s="176"/>
      <c r="B103" s="176"/>
      <c r="C103" s="176"/>
      <c r="D103" s="176"/>
      <c r="E103" s="176"/>
      <c r="F103" s="176"/>
      <c r="G103" s="176"/>
      <c r="H103" s="176"/>
      <c r="I103" s="176"/>
      <c r="J103" s="176"/>
      <c r="K103" s="176"/>
      <c r="L103" s="176"/>
      <c r="M103" s="176"/>
      <c r="N103" s="176"/>
      <c r="O103" s="176"/>
      <c r="P103" s="176"/>
      <c r="Q103" s="176"/>
      <c r="R103" s="176"/>
      <c r="S103" s="176"/>
      <c r="T103" s="176"/>
      <c r="U103" s="176"/>
      <c r="V103" s="176"/>
      <c r="W103" s="176"/>
      <c r="X103" s="176"/>
      <c r="Y103" s="176"/>
      <c r="Z103" s="176"/>
    </row>
    <row r="104" spans="1:26" ht="9.75" customHeight="1" x14ac:dyDescent="0.25">
      <c r="A104" s="176"/>
      <c r="B104" s="176"/>
      <c r="C104" s="176"/>
      <c r="D104" s="176"/>
      <c r="E104" s="176"/>
      <c r="F104" s="176"/>
      <c r="G104" s="176"/>
      <c r="H104" s="176"/>
      <c r="I104" s="176"/>
      <c r="J104" s="176"/>
      <c r="K104" s="176"/>
      <c r="L104" s="176"/>
      <c r="M104" s="176"/>
      <c r="N104" s="176"/>
      <c r="O104" s="176"/>
      <c r="P104" s="176"/>
      <c r="Q104" s="176"/>
      <c r="R104" s="176"/>
      <c r="S104" s="176"/>
      <c r="T104" s="176"/>
      <c r="U104" s="176"/>
      <c r="V104" s="176"/>
      <c r="W104" s="176"/>
      <c r="X104" s="176"/>
      <c r="Y104" s="176"/>
      <c r="Z104" s="176"/>
    </row>
    <row r="105" spans="1:26" ht="9.75" customHeight="1" x14ac:dyDescent="0.25">
      <c r="A105" s="176"/>
      <c r="B105" s="176"/>
      <c r="C105" s="176"/>
      <c r="D105" s="176"/>
      <c r="E105" s="176"/>
      <c r="F105" s="176"/>
      <c r="G105" s="176"/>
      <c r="H105" s="176"/>
      <c r="I105" s="176"/>
      <c r="J105" s="176"/>
      <c r="K105" s="176"/>
      <c r="L105" s="176"/>
      <c r="M105" s="176"/>
      <c r="N105" s="176"/>
      <c r="O105" s="176"/>
      <c r="P105" s="176"/>
      <c r="Q105" s="176"/>
      <c r="R105" s="176"/>
      <c r="S105" s="176"/>
      <c r="T105" s="176"/>
      <c r="U105" s="176"/>
      <c r="V105" s="176"/>
      <c r="W105" s="176"/>
      <c r="X105" s="176"/>
      <c r="Y105" s="176"/>
      <c r="Z105" s="176"/>
    </row>
    <row r="106" spans="1:26" ht="9.75" customHeight="1" x14ac:dyDescent="0.25">
      <c r="A106" s="176"/>
      <c r="B106" s="176"/>
      <c r="C106" s="176"/>
      <c r="D106" s="176"/>
      <c r="E106" s="176"/>
      <c r="F106" s="176"/>
      <c r="G106" s="176"/>
      <c r="H106" s="176"/>
      <c r="I106" s="176"/>
      <c r="J106" s="176"/>
      <c r="K106" s="176"/>
      <c r="L106" s="176"/>
      <c r="M106" s="176"/>
      <c r="N106" s="176"/>
      <c r="O106" s="176"/>
      <c r="P106" s="176"/>
      <c r="Q106" s="176"/>
      <c r="R106" s="176"/>
      <c r="S106" s="176"/>
      <c r="T106" s="176"/>
      <c r="U106" s="176"/>
      <c r="V106" s="176"/>
      <c r="W106" s="176"/>
      <c r="X106" s="176"/>
      <c r="Y106" s="176"/>
      <c r="Z106" s="176"/>
    </row>
    <row r="107" spans="1:26" ht="9.75" customHeight="1" x14ac:dyDescent="0.25">
      <c r="A107" s="176"/>
      <c r="B107" s="176"/>
      <c r="C107" s="176"/>
      <c r="D107" s="176"/>
      <c r="E107" s="176"/>
      <c r="F107" s="176"/>
      <c r="G107" s="176"/>
      <c r="H107" s="176"/>
      <c r="I107" s="176"/>
      <c r="J107" s="176"/>
      <c r="K107" s="176"/>
      <c r="L107" s="176"/>
      <c r="M107" s="176"/>
      <c r="N107" s="176"/>
      <c r="O107" s="176"/>
      <c r="P107" s="176"/>
      <c r="Q107" s="176"/>
      <c r="R107" s="176"/>
      <c r="S107" s="176"/>
      <c r="T107" s="176"/>
      <c r="U107" s="176"/>
      <c r="V107" s="176"/>
      <c r="W107" s="176"/>
      <c r="X107" s="176"/>
      <c r="Y107" s="176"/>
      <c r="Z107" s="176"/>
    </row>
    <row r="108" spans="1:26" ht="9.75" customHeight="1" x14ac:dyDescent="0.25">
      <c r="A108" s="176"/>
      <c r="B108" s="176"/>
      <c r="C108" s="176"/>
      <c r="D108" s="176"/>
      <c r="E108" s="176"/>
      <c r="F108" s="176"/>
      <c r="G108" s="176"/>
      <c r="H108" s="176"/>
      <c r="I108" s="176"/>
      <c r="J108" s="176"/>
      <c r="K108" s="176"/>
      <c r="L108" s="176"/>
      <c r="M108" s="176"/>
      <c r="N108" s="176"/>
      <c r="O108" s="176"/>
      <c r="P108" s="176"/>
      <c r="Q108" s="176"/>
      <c r="R108" s="176"/>
      <c r="S108" s="176"/>
      <c r="T108" s="176"/>
      <c r="U108" s="176"/>
      <c r="V108" s="176"/>
      <c r="W108" s="176"/>
      <c r="X108" s="176"/>
      <c r="Y108" s="176"/>
      <c r="Z108" s="176"/>
    </row>
    <row r="109" spans="1:26" ht="9.75" customHeight="1" x14ac:dyDescent="0.25">
      <c r="A109" s="176"/>
      <c r="B109" s="176"/>
      <c r="C109" s="176"/>
      <c r="D109" s="176"/>
      <c r="E109" s="176"/>
      <c r="F109" s="176"/>
      <c r="G109" s="176"/>
      <c r="H109" s="176"/>
      <c r="I109" s="176"/>
      <c r="J109" s="176"/>
      <c r="K109" s="176"/>
      <c r="L109" s="176"/>
      <c r="M109" s="176"/>
      <c r="N109" s="176"/>
      <c r="O109" s="176"/>
      <c r="P109" s="176"/>
      <c r="Q109" s="176"/>
      <c r="R109" s="176"/>
      <c r="S109" s="176"/>
      <c r="T109" s="176"/>
      <c r="U109" s="176"/>
      <c r="V109" s="176"/>
      <c r="W109" s="176"/>
      <c r="X109" s="176"/>
      <c r="Y109" s="176"/>
      <c r="Z109" s="176"/>
    </row>
    <row r="110" spans="1:26" ht="9.75" customHeight="1" x14ac:dyDescent="0.25">
      <c r="A110" s="176"/>
      <c r="B110" s="176"/>
      <c r="C110" s="176"/>
      <c r="D110" s="176"/>
      <c r="E110" s="176"/>
      <c r="F110" s="176"/>
      <c r="G110" s="176"/>
      <c r="H110" s="176"/>
      <c r="I110" s="176"/>
      <c r="J110" s="176"/>
      <c r="K110" s="176"/>
      <c r="L110" s="176"/>
      <c r="M110" s="176"/>
      <c r="N110" s="176"/>
      <c r="O110" s="176"/>
      <c r="P110" s="176"/>
      <c r="Q110" s="176"/>
      <c r="R110" s="176"/>
      <c r="S110" s="176"/>
      <c r="T110" s="176"/>
      <c r="U110" s="176"/>
      <c r="V110" s="176"/>
      <c r="W110" s="176"/>
      <c r="X110" s="176"/>
      <c r="Y110" s="176"/>
      <c r="Z110" s="176"/>
    </row>
    <row r="111" spans="1:26" ht="9.75" customHeight="1" x14ac:dyDescent="0.25">
      <c r="A111" s="176"/>
      <c r="B111" s="176"/>
      <c r="C111" s="176"/>
      <c r="D111" s="176"/>
      <c r="E111" s="176"/>
      <c r="F111" s="176"/>
      <c r="G111" s="176"/>
      <c r="H111" s="176"/>
      <c r="I111" s="176"/>
      <c r="J111" s="176"/>
      <c r="K111" s="176"/>
      <c r="L111" s="176"/>
      <c r="M111" s="176"/>
      <c r="N111" s="176"/>
      <c r="O111" s="176"/>
      <c r="P111" s="176"/>
      <c r="Q111" s="176"/>
      <c r="R111" s="176"/>
      <c r="S111" s="176"/>
      <c r="T111" s="176"/>
      <c r="U111" s="176"/>
      <c r="V111" s="176"/>
      <c r="W111" s="176"/>
      <c r="X111" s="176"/>
      <c r="Y111" s="176"/>
      <c r="Z111" s="176"/>
    </row>
    <row r="112" spans="1:26" ht="9.75" customHeight="1" x14ac:dyDescent="0.25">
      <c r="A112" s="176"/>
      <c r="B112" s="176"/>
      <c r="C112" s="176"/>
      <c r="D112" s="176"/>
      <c r="E112" s="176"/>
      <c r="F112" s="176"/>
      <c r="G112" s="176"/>
      <c r="H112" s="176"/>
      <c r="I112" s="176"/>
      <c r="J112" s="176"/>
      <c r="K112" s="176"/>
      <c r="L112" s="176"/>
      <c r="M112" s="176"/>
      <c r="N112" s="176"/>
      <c r="O112" s="176"/>
      <c r="P112" s="176"/>
      <c r="Q112" s="176"/>
      <c r="R112" s="176"/>
      <c r="S112" s="176"/>
      <c r="T112" s="176"/>
      <c r="U112" s="176"/>
      <c r="V112" s="176"/>
      <c r="W112" s="176"/>
      <c r="X112" s="176"/>
      <c r="Y112" s="176"/>
      <c r="Z112" s="176"/>
    </row>
    <row r="113" spans="1:26" ht="9.75" customHeight="1" x14ac:dyDescent="0.25">
      <c r="A113" s="176"/>
      <c r="B113" s="176"/>
      <c r="C113" s="176"/>
      <c r="D113" s="176"/>
      <c r="E113" s="176"/>
      <c r="F113" s="176"/>
      <c r="G113" s="176"/>
      <c r="H113" s="176"/>
      <c r="I113" s="176"/>
      <c r="J113" s="176"/>
      <c r="K113" s="176"/>
      <c r="L113" s="176"/>
      <c r="M113" s="176"/>
      <c r="N113" s="176"/>
      <c r="O113" s="176"/>
      <c r="P113" s="176"/>
      <c r="Q113" s="176"/>
      <c r="R113" s="176"/>
      <c r="S113" s="176"/>
      <c r="T113" s="176"/>
      <c r="U113" s="176"/>
      <c r="V113" s="176"/>
      <c r="W113" s="176"/>
      <c r="X113" s="176"/>
      <c r="Y113" s="176"/>
      <c r="Z113" s="176"/>
    </row>
    <row r="114" spans="1:26" ht="9.75" customHeight="1" x14ac:dyDescent="0.25">
      <c r="A114" s="176"/>
      <c r="B114" s="176"/>
      <c r="C114" s="176"/>
      <c r="D114" s="176"/>
      <c r="E114" s="176"/>
      <c r="F114" s="176"/>
      <c r="G114" s="176"/>
      <c r="H114" s="176"/>
      <c r="I114" s="176"/>
      <c r="J114" s="176"/>
      <c r="K114" s="176"/>
      <c r="L114" s="176"/>
      <c r="M114" s="176"/>
      <c r="N114" s="176"/>
      <c r="O114" s="176"/>
      <c r="P114" s="176"/>
      <c r="Q114" s="176"/>
      <c r="R114" s="176"/>
      <c r="S114" s="176"/>
      <c r="T114" s="176"/>
      <c r="U114" s="176"/>
      <c r="V114" s="176"/>
      <c r="W114" s="176"/>
      <c r="X114" s="176"/>
      <c r="Y114" s="176"/>
      <c r="Z114" s="176"/>
    </row>
    <row r="115" spans="1:26" ht="9.75" customHeight="1" x14ac:dyDescent="0.25">
      <c r="A115" s="176"/>
      <c r="B115" s="176"/>
      <c r="C115" s="176"/>
      <c r="D115" s="176"/>
      <c r="E115" s="176"/>
      <c r="F115" s="176"/>
      <c r="G115" s="176"/>
      <c r="H115" s="176"/>
      <c r="I115" s="176"/>
      <c r="J115" s="176"/>
      <c r="K115" s="176"/>
      <c r="L115" s="176"/>
      <c r="M115" s="176"/>
      <c r="N115" s="176"/>
      <c r="O115" s="176"/>
      <c r="P115" s="176"/>
      <c r="Q115" s="176"/>
      <c r="R115" s="176"/>
      <c r="S115" s="176"/>
      <c r="T115" s="176"/>
      <c r="U115" s="176"/>
      <c r="V115" s="176"/>
      <c r="W115" s="176"/>
      <c r="X115" s="176"/>
      <c r="Y115" s="176"/>
      <c r="Z115" s="176"/>
    </row>
    <row r="116" spans="1:26" ht="9.75" customHeight="1" x14ac:dyDescent="0.25">
      <c r="A116" s="176"/>
      <c r="B116" s="176"/>
      <c r="C116" s="176"/>
      <c r="D116" s="176"/>
      <c r="E116" s="176"/>
      <c r="F116" s="176"/>
      <c r="G116" s="176"/>
      <c r="H116" s="176"/>
      <c r="I116" s="176"/>
      <c r="J116" s="176"/>
      <c r="K116" s="176"/>
      <c r="L116" s="176"/>
      <c r="M116" s="176"/>
      <c r="N116" s="176"/>
      <c r="O116" s="176"/>
      <c r="P116" s="176"/>
      <c r="Q116" s="176"/>
      <c r="R116" s="176"/>
      <c r="S116" s="176"/>
      <c r="T116" s="176"/>
      <c r="U116" s="176"/>
      <c r="V116" s="176"/>
      <c r="W116" s="176"/>
      <c r="X116" s="176"/>
      <c r="Y116" s="176"/>
      <c r="Z116" s="176"/>
    </row>
    <row r="117" spans="1:26" ht="9.75" customHeight="1" x14ac:dyDescent="0.25">
      <c r="A117" s="176"/>
      <c r="B117" s="176"/>
      <c r="C117" s="176"/>
      <c r="D117" s="176"/>
      <c r="E117" s="176"/>
      <c r="F117" s="176"/>
      <c r="G117" s="176"/>
      <c r="H117" s="176"/>
      <c r="I117" s="176"/>
      <c r="J117" s="176"/>
      <c r="K117" s="176"/>
      <c r="L117" s="176"/>
      <c r="M117" s="176"/>
      <c r="N117" s="176"/>
      <c r="O117" s="176"/>
      <c r="P117" s="176"/>
      <c r="Q117" s="176"/>
      <c r="R117" s="176"/>
      <c r="S117" s="176"/>
      <c r="T117" s="176"/>
      <c r="U117" s="176"/>
      <c r="V117" s="176"/>
      <c r="W117" s="176"/>
      <c r="X117" s="176"/>
      <c r="Y117" s="176"/>
      <c r="Z117" s="176"/>
    </row>
    <row r="118" spans="1:26" ht="9.75" customHeight="1" x14ac:dyDescent="0.25">
      <c r="A118" s="176"/>
      <c r="B118" s="176"/>
      <c r="C118" s="176"/>
      <c r="D118" s="176"/>
      <c r="E118" s="176"/>
      <c r="F118" s="176"/>
      <c r="G118" s="176"/>
      <c r="H118" s="176"/>
      <c r="I118" s="176"/>
      <c r="J118" s="176"/>
      <c r="K118" s="176"/>
      <c r="L118" s="176"/>
      <c r="M118" s="176"/>
      <c r="N118" s="176"/>
      <c r="O118" s="176"/>
      <c r="P118" s="176"/>
      <c r="Q118" s="176"/>
      <c r="R118" s="176"/>
      <c r="S118" s="176"/>
      <c r="T118" s="176"/>
      <c r="U118" s="176"/>
      <c r="V118" s="176"/>
      <c r="W118" s="176"/>
      <c r="X118" s="176"/>
      <c r="Y118" s="176"/>
      <c r="Z118" s="176"/>
    </row>
    <row r="119" spans="1:26" ht="9.75" customHeight="1" x14ac:dyDescent="0.25">
      <c r="A119" s="176"/>
      <c r="B119" s="176"/>
      <c r="C119" s="176"/>
      <c r="D119" s="176"/>
      <c r="E119" s="176"/>
      <c r="F119" s="176"/>
      <c r="G119" s="176"/>
      <c r="H119" s="176"/>
      <c r="I119" s="176"/>
      <c r="J119" s="176"/>
      <c r="K119" s="176"/>
      <c r="L119" s="176"/>
      <c r="M119" s="176"/>
      <c r="N119" s="176"/>
      <c r="O119" s="176"/>
      <c r="P119" s="176"/>
      <c r="Q119" s="176"/>
      <c r="R119" s="176"/>
      <c r="S119" s="176"/>
      <c r="T119" s="176"/>
      <c r="U119" s="176"/>
      <c r="V119" s="176"/>
      <c r="W119" s="176"/>
      <c r="X119" s="176"/>
      <c r="Y119" s="176"/>
      <c r="Z119" s="176"/>
    </row>
    <row r="120" spans="1:26" ht="9.75" customHeight="1" x14ac:dyDescent="0.25">
      <c r="A120" s="176"/>
      <c r="B120" s="176"/>
      <c r="C120" s="176"/>
      <c r="D120" s="176"/>
      <c r="E120" s="176"/>
      <c r="F120" s="176"/>
      <c r="G120" s="176"/>
      <c r="H120" s="176"/>
      <c r="I120" s="176"/>
      <c r="J120" s="176"/>
      <c r="K120" s="176"/>
      <c r="L120" s="176"/>
      <c r="M120" s="176"/>
      <c r="N120" s="176"/>
      <c r="O120" s="176"/>
      <c r="P120" s="176"/>
      <c r="Q120" s="176"/>
      <c r="R120" s="176"/>
      <c r="S120" s="176"/>
      <c r="T120" s="176"/>
      <c r="U120" s="176"/>
      <c r="V120" s="176"/>
      <c r="W120" s="176"/>
      <c r="X120" s="176"/>
      <c r="Y120" s="176"/>
      <c r="Z120" s="176"/>
    </row>
    <row r="121" spans="1:26" ht="9.75" customHeight="1" x14ac:dyDescent="0.25">
      <c r="A121" s="176"/>
      <c r="B121" s="176"/>
      <c r="C121" s="176"/>
      <c r="D121" s="176"/>
      <c r="E121" s="176"/>
      <c r="F121" s="176"/>
      <c r="G121" s="176"/>
      <c r="H121" s="176"/>
      <c r="I121" s="176"/>
      <c r="J121" s="176"/>
      <c r="K121" s="176"/>
      <c r="L121" s="176"/>
      <c r="M121" s="176"/>
      <c r="N121" s="176"/>
      <c r="O121" s="176"/>
      <c r="P121" s="176"/>
      <c r="Q121" s="176"/>
      <c r="R121" s="176"/>
      <c r="S121" s="176"/>
      <c r="T121" s="176"/>
      <c r="U121" s="176"/>
      <c r="V121" s="176"/>
      <c r="W121" s="176"/>
      <c r="X121" s="176"/>
      <c r="Y121" s="176"/>
      <c r="Z121" s="176"/>
    </row>
    <row r="122" spans="1:26" ht="9.75" customHeight="1" x14ac:dyDescent="0.25">
      <c r="A122" s="176"/>
      <c r="B122" s="176"/>
      <c r="C122" s="176"/>
      <c r="D122" s="176"/>
      <c r="E122" s="176"/>
      <c r="F122" s="176"/>
      <c r="G122" s="176"/>
      <c r="H122" s="176"/>
      <c r="I122" s="176"/>
      <c r="J122" s="176"/>
      <c r="K122" s="176"/>
      <c r="L122" s="176"/>
      <c r="M122" s="176"/>
      <c r="N122" s="176"/>
      <c r="O122" s="176"/>
      <c r="P122" s="176"/>
      <c r="Q122" s="176"/>
      <c r="R122" s="176"/>
      <c r="S122" s="176"/>
      <c r="T122" s="176"/>
      <c r="U122" s="176"/>
      <c r="V122" s="176"/>
      <c r="W122" s="176"/>
      <c r="X122" s="176"/>
      <c r="Y122" s="176"/>
      <c r="Z122" s="176"/>
    </row>
    <row r="123" spans="1:26" ht="9.75" customHeight="1" x14ac:dyDescent="0.25">
      <c r="A123" s="176"/>
      <c r="B123" s="176"/>
      <c r="C123" s="176"/>
      <c r="D123" s="176"/>
      <c r="E123" s="176"/>
      <c r="F123" s="176"/>
      <c r="G123" s="176"/>
      <c r="H123" s="176"/>
      <c r="I123" s="176"/>
      <c r="J123" s="176"/>
      <c r="K123" s="176"/>
      <c r="L123" s="176"/>
      <c r="M123" s="176"/>
      <c r="N123" s="176"/>
      <c r="O123" s="176"/>
      <c r="P123" s="176"/>
      <c r="Q123" s="176"/>
      <c r="R123" s="176"/>
      <c r="S123" s="176"/>
      <c r="T123" s="176"/>
      <c r="U123" s="176"/>
      <c r="V123" s="176"/>
      <c r="W123" s="176"/>
      <c r="X123" s="176"/>
      <c r="Y123" s="176"/>
      <c r="Z123" s="176"/>
    </row>
    <row r="124" spans="1:26" ht="9.75" customHeight="1" x14ac:dyDescent="0.25">
      <c r="A124" s="176"/>
      <c r="B124" s="176"/>
      <c r="C124" s="176"/>
      <c r="D124" s="176"/>
      <c r="E124" s="176"/>
      <c r="F124" s="176"/>
      <c r="G124" s="176"/>
      <c r="H124" s="176"/>
      <c r="I124" s="176"/>
      <c r="J124" s="176"/>
      <c r="K124" s="176"/>
      <c r="L124" s="176"/>
      <c r="M124" s="176"/>
      <c r="N124" s="176"/>
      <c r="O124" s="176"/>
      <c r="P124" s="176"/>
      <c r="Q124" s="176"/>
      <c r="R124" s="176"/>
      <c r="S124" s="176"/>
      <c r="T124" s="176"/>
      <c r="U124" s="176"/>
      <c r="V124" s="176"/>
      <c r="W124" s="176"/>
      <c r="X124" s="176"/>
      <c r="Y124" s="176"/>
      <c r="Z124" s="176"/>
    </row>
    <row r="125" spans="1:26" ht="9.75" customHeight="1" x14ac:dyDescent="0.25">
      <c r="A125" s="176"/>
      <c r="B125" s="176"/>
      <c r="C125" s="176"/>
      <c r="D125" s="176"/>
      <c r="E125" s="176"/>
      <c r="F125" s="176"/>
      <c r="G125" s="176"/>
      <c r="H125" s="176"/>
      <c r="I125" s="176"/>
      <c r="J125" s="176"/>
      <c r="K125" s="176"/>
      <c r="L125" s="176"/>
      <c r="M125" s="176"/>
      <c r="N125" s="176"/>
      <c r="O125" s="176"/>
      <c r="P125" s="176"/>
      <c r="Q125" s="176"/>
      <c r="R125" s="176"/>
      <c r="S125" s="176"/>
      <c r="T125" s="176"/>
      <c r="U125" s="176"/>
      <c r="V125" s="176"/>
      <c r="W125" s="176"/>
      <c r="X125" s="176"/>
      <c r="Y125" s="176"/>
      <c r="Z125" s="176"/>
    </row>
    <row r="126" spans="1:26" ht="9.75" customHeight="1" x14ac:dyDescent="0.25">
      <c r="A126" s="176"/>
      <c r="B126" s="176"/>
      <c r="C126" s="176"/>
      <c r="D126" s="176"/>
      <c r="E126" s="176"/>
      <c r="F126" s="176"/>
      <c r="G126" s="176"/>
      <c r="H126" s="176"/>
      <c r="I126" s="176"/>
      <c r="J126" s="176"/>
      <c r="K126" s="176"/>
      <c r="L126" s="176"/>
      <c r="M126" s="176"/>
      <c r="N126" s="176"/>
      <c r="O126" s="176"/>
      <c r="P126" s="176"/>
      <c r="Q126" s="176"/>
      <c r="R126" s="176"/>
      <c r="S126" s="176"/>
      <c r="T126" s="176"/>
      <c r="U126" s="176"/>
      <c r="V126" s="176"/>
      <c r="W126" s="176"/>
      <c r="X126" s="176"/>
      <c r="Y126" s="176"/>
      <c r="Z126" s="176"/>
    </row>
    <row r="127" spans="1:26" ht="9.75" customHeight="1" x14ac:dyDescent="0.25">
      <c r="A127" s="176"/>
      <c r="B127" s="176"/>
      <c r="C127" s="176"/>
      <c r="D127" s="176"/>
      <c r="E127" s="176"/>
      <c r="F127" s="176"/>
      <c r="G127" s="176"/>
      <c r="H127" s="176"/>
      <c r="I127" s="176"/>
      <c r="J127" s="176"/>
      <c r="K127" s="176"/>
      <c r="L127" s="176"/>
      <c r="M127" s="176"/>
      <c r="N127" s="176"/>
      <c r="O127" s="176"/>
      <c r="P127" s="176"/>
      <c r="Q127" s="176"/>
      <c r="R127" s="176"/>
      <c r="S127" s="176"/>
      <c r="T127" s="176"/>
      <c r="U127" s="176"/>
      <c r="V127" s="176"/>
      <c r="W127" s="176"/>
      <c r="X127" s="176"/>
      <c r="Y127" s="176"/>
      <c r="Z127" s="176"/>
    </row>
    <row r="128" spans="1:26" ht="9.75" customHeight="1" x14ac:dyDescent="0.25">
      <c r="A128" s="176"/>
      <c r="B128" s="176"/>
      <c r="C128" s="176"/>
      <c r="D128" s="176"/>
      <c r="E128" s="176"/>
      <c r="F128" s="176"/>
      <c r="G128" s="176"/>
      <c r="H128" s="176"/>
      <c r="I128" s="176"/>
      <c r="J128" s="176"/>
      <c r="K128" s="176"/>
      <c r="L128" s="176"/>
      <c r="M128" s="176"/>
      <c r="N128" s="176"/>
      <c r="O128" s="176"/>
      <c r="P128" s="176"/>
      <c r="Q128" s="176"/>
      <c r="R128" s="176"/>
      <c r="S128" s="176"/>
      <c r="T128" s="176"/>
      <c r="U128" s="176"/>
      <c r="V128" s="176"/>
      <c r="W128" s="176"/>
      <c r="X128" s="176"/>
      <c r="Y128" s="176"/>
      <c r="Z128" s="176"/>
    </row>
    <row r="129" spans="1:26" ht="9.75" customHeight="1" x14ac:dyDescent="0.25">
      <c r="A129" s="176"/>
      <c r="B129" s="176"/>
      <c r="C129" s="176"/>
      <c r="D129" s="176"/>
      <c r="E129" s="176"/>
      <c r="F129" s="176"/>
      <c r="G129" s="176"/>
      <c r="H129" s="176"/>
      <c r="I129" s="176"/>
      <c r="J129" s="176"/>
      <c r="K129" s="176"/>
      <c r="L129" s="176"/>
      <c r="M129" s="176"/>
      <c r="N129" s="176"/>
      <c r="O129" s="176"/>
      <c r="P129" s="176"/>
      <c r="Q129" s="176"/>
      <c r="R129" s="176"/>
      <c r="S129" s="176"/>
      <c r="T129" s="176"/>
      <c r="U129" s="176"/>
      <c r="V129" s="176"/>
      <c r="W129" s="176"/>
      <c r="X129" s="176"/>
      <c r="Y129" s="176"/>
      <c r="Z129" s="176"/>
    </row>
    <row r="130" spans="1:26" ht="9.75" customHeight="1" x14ac:dyDescent="0.25">
      <c r="A130" s="176"/>
      <c r="B130" s="176"/>
      <c r="C130" s="176"/>
      <c r="D130" s="176"/>
      <c r="E130" s="176"/>
      <c r="F130" s="176"/>
      <c r="G130" s="176"/>
      <c r="H130" s="176"/>
      <c r="I130" s="176"/>
      <c r="J130" s="176"/>
      <c r="K130" s="176"/>
      <c r="L130" s="176"/>
      <c r="M130" s="176"/>
      <c r="N130" s="176"/>
      <c r="O130" s="176"/>
      <c r="P130" s="176"/>
      <c r="Q130" s="176"/>
      <c r="R130" s="176"/>
      <c r="S130" s="176"/>
      <c r="T130" s="176"/>
      <c r="U130" s="176"/>
      <c r="V130" s="176"/>
      <c r="W130" s="176"/>
      <c r="X130" s="176"/>
      <c r="Y130" s="176"/>
      <c r="Z130" s="176"/>
    </row>
    <row r="131" spans="1:26" ht="9.75" customHeight="1" x14ac:dyDescent="0.25">
      <c r="A131" s="176"/>
      <c r="B131" s="176"/>
      <c r="C131" s="176"/>
      <c r="D131" s="176"/>
      <c r="E131" s="176"/>
      <c r="F131" s="176"/>
      <c r="G131" s="176"/>
      <c r="H131" s="176"/>
      <c r="I131" s="176"/>
      <c r="J131" s="176"/>
      <c r="K131" s="176"/>
      <c r="L131" s="176"/>
      <c r="M131" s="176"/>
      <c r="N131" s="176"/>
      <c r="O131" s="176"/>
      <c r="P131" s="176"/>
      <c r="Q131" s="176"/>
      <c r="R131" s="176"/>
      <c r="S131" s="176"/>
      <c r="T131" s="176"/>
      <c r="U131" s="176"/>
      <c r="V131" s="176"/>
      <c r="W131" s="176"/>
      <c r="X131" s="176"/>
      <c r="Y131" s="176"/>
      <c r="Z131" s="176"/>
    </row>
    <row r="132" spans="1:26" ht="9.75" customHeight="1" x14ac:dyDescent="0.25">
      <c r="A132" s="176"/>
      <c r="B132" s="176"/>
      <c r="C132" s="176"/>
      <c r="D132" s="176"/>
      <c r="E132" s="176"/>
      <c r="F132" s="176"/>
      <c r="G132" s="176"/>
      <c r="H132" s="176"/>
      <c r="I132" s="176"/>
      <c r="J132" s="176"/>
      <c r="K132" s="176"/>
      <c r="L132" s="176"/>
      <c r="M132" s="176"/>
      <c r="N132" s="176"/>
      <c r="O132" s="176"/>
      <c r="P132" s="176"/>
      <c r="Q132" s="176"/>
      <c r="R132" s="176"/>
      <c r="S132" s="176"/>
      <c r="T132" s="176"/>
      <c r="U132" s="176"/>
      <c r="V132" s="176"/>
      <c r="W132" s="176"/>
      <c r="X132" s="176"/>
      <c r="Y132" s="176"/>
      <c r="Z132" s="176"/>
    </row>
    <row r="133" spans="1:26" ht="9.75" customHeight="1" x14ac:dyDescent="0.25">
      <c r="A133" s="176"/>
      <c r="B133" s="176"/>
      <c r="C133" s="176"/>
      <c r="D133" s="176"/>
      <c r="E133" s="176"/>
      <c r="F133" s="176"/>
      <c r="G133" s="176"/>
      <c r="H133" s="176"/>
      <c r="I133" s="176"/>
      <c r="J133" s="176"/>
      <c r="K133" s="176"/>
      <c r="L133" s="176"/>
      <c r="M133" s="176"/>
      <c r="N133" s="176"/>
      <c r="O133" s="176"/>
      <c r="P133" s="176"/>
      <c r="Q133" s="176"/>
      <c r="R133" s="176"/>
      <c r="S133" s="176"/>
      <c r="T133" s="176"/>
      <c r="U133" s="176"/>
      <c r="V133" s="176"/>
      <c r="W133" s="176"/>
      <c r="X133" s="176"/>
      <c r="Y133" s="176"/>
      <c r="Z133" s="176"/>
    </row>
    <row r="134" spans="1:26" ht="9.75" customHeight="1" x14ac:dyDescent="0.25">
      <c r="A134" s="176"/>
      <c r="B134" s="176"/>
      <c r="C134" s="176"/>
      <c r="D134" s="176"/>
      <c r="E134" s="176"/>
      <c r="F134" s="176"/>
      <c r="G134" s="176"/>
      <c r="H134" s="176"/>
      <c r="I134" s="176"/>
      <c r="J134" s="176"/>
      <c r="K134" s="176"/>
      <c r="L134" s="176"/>
      <c r="M134" s="176"/>
      <c r="N134" s="176"/>
      <c r="O134" s="176"/>
      <c r="P134" s="176"/>
      <c r="Q134" s="176"/>
      <c r="R134" s="176"/>
      <c r="S134" s="176"/>
      <c r="T134" s="176"/>
      <c r="U134" s="176"/>
      <c r="V134" s="176"/>
      <c r="W134" s="176"/>
      <c r="X134" s="176"/>
      <c r="Y134" s="176"/>
      <c r="Z134" s="176"/>
    </row>
    <row r="135" spans="1:26" ht="9.75" customHeight="1" x14ac:dyDescent="0.25">
      <c r="A135" s="176"/>
      <c r="B135" s="176"/>
      <c r="C135" s="176"/>
      <c r="D135" s="176"/>
      <c r="E135" s="176"/>
      <c r="F135" s="176"/>
      <c r="G135" s="176"/>
      <c r="H135" s="176"/>
      <c r="I135" s="176"/>
      <c r="J135" s="176"/>
      <c r="K135" s="176"/>
      <c r="L135" s="176"/>
      <c r="M135" s="176"/>
      <c r="N135" s="176"/>
      <c r="O135" s="176"/>
      <c r="P135" s="176"/>
      <c r="Q135" s="176"/>
      <c r="R135" s="176"/>
      <c r="S135" s="176"/>
      <c r="T135" s="176"/>
      <c r="U135" s="176"/>
      <c r="V135" s="176"/>
      <c r="W135" s="176"/>
      <c r="X135" s="176"/>
      <c r="Y135" s="176"/>
      <c r="Z135" s="176"/>
    </row>
    <row r="136" spans="1:26" ht="9.75" customHeight="1" x14ac:dyDescent="0.25">
      <c r="A136" s="176"/>
      <c r="B136" s="176"/>
      <c r="C136" s="176"/>
      <c r="D136" s="176"/>
      <c r="E136" s="176"/>
      <c r="F136" s="176"/>
      <c r="G136" s="176"/>
      <c r="H136" s="176"/>
      <c r="I136" s="176"/>
      <c r="J136" s="176"/>
      <c r="K136" s="176"/>
      <c r="L136" s="176"/>
      <c r="M136" s="176"/>
      <c r="N136" s="176"/>
      <c r="O136" s="176"/>
      <c r="P136" s="176"/>
      <c r="Q136" s="176"/>
      <c r="R136" s="176"/>
      <c r="S136" s="176"/>
      <c r="T136" s="176"/>
      <c r="U136" s="176"/>
      <c r="V136" s="176"/>
      <c r="W136" s="176"/>
      <c r="X136" s="176"/>
      <c r="Y136" s="176"/>
      <c r="Z136" s="176"/>
    </row>
    <row r="137" spans="1:26" ht="9.75" customHeight="1" x14ac:dyDescent="0.25">
      <c r="A137" s="176"/>
      <c r="B137" s="176"/>
      <c r="C137" s="176"/>
      <c r="D137" s="176"/>
      <c r="E137" s="176"/>
      <c r="F137" s="176"/>
      <c r="G137" s="176"/>
      <c r="H137" s="176"/>
      <c r="I137" s="176"/>
      <c r="J137" s="176"/>
      <c r="K137" s="176"/>
      <c r="L137" s="176"/>
      <c r="M137" s="176"/>
      <c r="N137" s="176"/>
      <c r="O137" s="176"/>
      <c r="P137" s="176"/>
      <c r="Q137" s="176"/>
      <c r="R137" s="176"/>
      <c r="S137" s="176"/>
      <c r="T137" s="176"/>
      <c r="U137" s="176"/>
      <c r="V137" s="176"/>
      <c r="W137" s="176"/>
      <c r="X137" s="176"/>
      <c r="Y137" s="176"/>
      <c r="Z137" s="176"/>
    </row>
    <row r="138" spans="1:26" ht="9.75" customHeight="1" x14ac:dyDescent="0.25">
      <c r="A138" s="176"/>
      <c r="B138" s="176"/>
      <c r="C138" s="176"/>
      <c r="D138" s="176"/>
      <c r="E138" s="176"/>
      <c r="F138" s="176"/>
      <c r="G138" s="176"/>
      <c r="H138" s="176"/>
      <c r="I138" s="176"/>
      <c r="J138" s="176"/>
      <c r="K138" s="176"/>
      <c r="L138" s="176"/>
      <c r="M138" s="176"/>
      <c r="N138" s="176"/>
      <c r="O138" s="176"/>
      <c r="P138" s="176"/>
      <c r="Q138" s="176"/>
      <c r="R138" s="176"/>
      <c r="S138" s="176"/>
      <c r="T138" s="176"/>
      <c r="U138" s="176"/>
      <c r="V138" s="176"/>
      <c r="W138" s="176"/>
      <c r="X138" s="176"/>
      <c r="Y138" s="176"/>
      <c r="Z138" s="176"/>
    </row>
    <row r="139" spans="1:26" ht="9.75" customHeight="1" x14ac:dyDescent="0.25">
      <c r="A139" s="176"/>
      <c r="B139" s="176"/>
      <c r="C139" s="176"/>
      <c r="D139" s="176"/>
      <c r="E139" s="176"/>
      <c r="F139" s="176"/>
      <c r="G139" s="176"/>
      <c r="H139" s="176"/>
      <c r="I139" s="176"/>
      <c r="J139" s="176"/>
      <c r="K139" s="176"/>
      <c r="L139" s="176"/>
      <c r="M139" s="176"/>
      <c r="N139" s="176"/>
      <c r="O139" s="176"/>
      <c r="P139" s="176"/>
      <c r="Q139" s="176"/>
      <c r="R139" s="176"/>
      <c r="S139" s="176"/>
      <c r="T139" s="176"/>
      <c r="U139" s="176"/>
      <c r="V139" s="176"/>
      <c r="W139" s="176"/>
      <c r="X139" s="176"/>
      <c r="Y139" s="176"/>
      <c r="Z139" s="176"/>
    </row>
    <row r="140" spans="1:26" ht="9.75" customHeight="1" x14ac:dyDescent="0.25">
      <c r="A140" s="176"/>
      <c r="B140" s="176"/>
      <c r="C140" s="176"/>
      <c r="D140" s="176"/>
      <c r="E140" s="176"/>
      <c r="F140" s="176"/>
      <c r="G140" s="176"/>
      <c r="H140" s="176"/>
      <c r="I140" s="176"/>
      <c r="J140" s="176"/>
      <c r="K140" s="176"/>
      <c r="L140" s="176"/>
      <c r="M140" s="176"/>
      <c r="N140" s="176"/>
      <c r="O140" s="176"/>
      <c r="P140" s="176"/>
      <c r="Q140" s="176"/>
      <c r="R140" s="176"/>
      <c r="S140" s="176"/>
      <c r="T140" s="176"/>
      <c r="U140" s="176"/>
      <c r="V140" s="176"/>
      <c r="W140" s="176"/>
      <c r="X140" s="176"/>
      <c r="Y140" s="176"/>
      <c r="Z140" s="176"/>
    </row>
    <row r="141" spans="1:26" ht="9.75" customHeight="1" x14ac:dyDescent="0.25">
      <c r="A141" s="176"/>
      <c r="B141" s="176"/>
      <c r="C141" s="176"/>
      <c r="D141" s="176"/>
      <c r="E141" s="176"/>
      <c r="F141" s="176"/>
      <c r="G141" s="176"/>
      <c r="H141" s="176"/>
      <c r="I141" s="176"/>
      <c r="J141" s="176"/>
      <c r="K141" s="176"/>
      <c r="L141" s="176"/>
      <c r="M141" s="176"/>
      <c r="N141" s="176"/>
      <c r="O141" s="176"/>
      <c r="P141" s="176"/>
      <c r="Q141" s="176"/>
      <c r="R141" s="176"/>
      <c r="S141" s="176"/>
      <c r="T141" s="176"/>
      <c r="U141" s="176"/>
      <c r="V141" s="176"/>
      <c r="W141" s="176"/>
      <c r="X141" s="176"/>
      <c r="Y141" s="176"/>
      <c r="Z141" s="176"/>
    </row>
    <row r="142" spans="1:26" ht="9.75" customHeight="1" x14ac:dyDescent="0.25">
      <c r="A142" s="176"/>
      <c r="B142" s="176"/>
      <c r="C142" s="176"/>
      <c r="D142" s="176"/>
      <c r="E142" s="176"/>
      <c r="F142" s="176"/>
      <c r="G142" s="176"/>
      <c r="H142" s="176"/>
      <c r="I142" s="176"/>
      <c r="J142" s="176"/>
      <c r="K142" s="176"/>
      <c r="L142" s="176"/>
      <c r="M142" s="176"/>
      <c r="N142" s="176"/>
      <c r="O142" s="176"/>
      <c r="P142" s="176"/>
      <c r="Q142" s="176"/>
      <c r="R142" s="176"/>
      <c r="S142" s="176"/>
      <c r="T142" s="176"/>
      <c r="U142" s="176"/>
      <c r="V142" s="176"/>
      <c r="W142" s="176"/>
      <c r="X142" s="176"/>
      <c r="Y142" s="176"/>
      <c r="Z142" s="176"/>
    </row>
    <row r="143" spans="1:26" ht="9.75" customHeight="1" x14ac:dyDescent="0.25">
      <c r="A143" s="176"/>
      <c r="B143" s="176"/>
      <c r="C143" s="176"/>
      <c r="D143" s="176"/>
      <c r="E143" s="176"/>
      <c r="F143" s="176"/>
      <c r="G143" s="176"/>
      <c r="H143" s="176"/>
      <c r="I143" s="176"/>
      <c r="J143" s="176"/>
      <c r="K143" s="176"/>
      <c r="L143" s="176"/>
      <c r="M143" s="176"/>
      <c r="N143" s="176"/>
      <c r="O143" s="176"/>
      <c r="P143" s="176"/>
      <c r="Q143" s="176"/>
      <c r="R143" s="176"/>
      <c r="S143" s="176"/>
      <c r="T143" s="176"/>
      <c r="U143" s="176"/>
      <c r="V143" s="176"/>
      <c r="W143" s="176"/>
      <c r="X143" s="176"/>
      <c r="Y143" s="176"/>
      <c r="Z143" s="176"/>
    </row>
    <row r="144" spans="1:26" ht="9.75" customHeight="1" x14ac:dyDescent="0.25">
      <c r="A144" s="176"/>
      <c r="B144" s="176"/>
      <c r="C144" s="176"/>
      <c r="D144" s="176"/>
      <c r="E144" s="176"/>
      <c r="F144" s="176"/>
      <c r="G144" s="176"/>
      <c r="H144" s="176"/>
      <c r="I144" s="176"/>
      <c r="J144" s="176"/>
      <c r="K144" s="176"/>
      <c r="L144" s="176"/>
      <c r="M144" s="176"/>
      <c r="N144" s="176"/>
      <c r="O144" s="176"/>
      <c r="P144" s="176"/>
      <c r="Q144" s="176"/>
      <c r="R144" s="176"/>
      <c r="S144" s="176"/>
      <c r="T144" s="176"/>
      <c r="U144" s="176"/>
      <c r="V144" s="176"/>
      <c r="W144" s="176"/>
      <c r="X144" s="176"/>
      <c r="Y144" s="176"/>
      <c r="Z144" s="176"/>
    </row>
    <row r="145" spans="1:26" ht="9.75" customHeight="1" x14ac:dyDescent="0.25">
      <c r="A145" s="176"/>
      <c r="B145" s="176"/>
      <c r="C145" s="176"/>
      <c r="D145" s="176"/>
      <c r="E145" s="176"/>
      <c r="F145" s="176"/>
      <c r="G145" s="176"/>
      <c r="H145" s="176"/>
      <c r="I145" s="176"/>
      <c r="J145" s="176"/>
      <c r="K145" s="176"/>
      <c r="L145" s="176"/>
      <c r="M145" s="176"/>
      <c r="N145" s="176"/>
      <c r="O145" s="176"/>
      <c r="P145" s="176"/>
      <c r="Q145" s="176"/>
      <c r="R145" s="176"/>
      <c r="S145" s="176"/>
      <c r="T145" s="176"/>
      <c r="U145" s="176"/>
      <c r="V145" s="176"/>
      <c r="W145" s="176"/>
      <c r="X145" s="176"/>
      <c r="Y145" s="176"/>
      <c r="Z145" s="176"/>
    </row>
    <row r="146" spans="1:26" ht="9.75" customHeight="1" x14ac:dyDescent="0.25">
      <c r="A146" s="176"/>
      <c r="B146" s="176"/>
      <c r="C146" s="176"/>
      <c r="D146" s="176"/>
      <c r="E146" s="176"/>
      <c r="F146" s="176"/>
      <c r="G146" s="176"/>
      <c r="H146" s="176"/>
      <c r="I146" s="176"/>
      <c r="J146" s="176"/>
      <c r="K146" s="176"/>
      <c r="L146" s="176"/>
      <c r="M146" s="176"/>
      <c r="N146" s="176"/>
      <c r="O146" s="176"/>
      <c r="P146" s="176"/>
      <c r="Q146" s="176"/>
      <c r="R146" s="176"/>
      <c r="S146" s="176"/>
      <c r="T146" s="176"/>
      <c r="U146" s="176"/>
      <c r="V146" s="176"/>
      <c r="W146" s="176"/>
      <c r="X146" s="176"/>
      <c r="Y146" s="176"/>
      <c r="Z146" s="176"/>
    </row>
    <row r="147" spans="1:26" ht="9.75" customHeight="1" x14ac:dyDescent="0.25">
      <c r="A147" s="176"/>
      <c r="B147" s="176"/>
      <c r="C147" s="176"/>
      <c r="D147" s="176"/>
      <c r="E147" s="176"/>
      <c r="F147" s="176"/>
      <c r="G147" s="176"/>
      <c r="H147" s="176"/>
      <c r="I147" s="176"/>
      <c r="J147" s="176"/>
      <c r="K147" s="176"/>
      <c r="L147" s="176"/>
      <c r="M147" s="176"/>
      <c r="N147" s="176"/>
      <c r="O147" s="176"/>
      <c r="P147" s="176"/>
      <c r="Q147" s="176"/>
      <c r="R147" s="176"/>
      <c r="S147" s="176"/>
      <c r="T147" s="176"/>
      <c r="U147" s="176"/>
      <c r="V147" s="176"/>
      <c r="W147" s="176"/>
      <c r="X147" s="176"/>
      <c r="Y147" s="176"/>
      <c r="Z147" s="176"/>
    </row>
    <row r="148" spans="1:26" ht="9.75" customHeight="1" x14ac:dyDescent="0.25">
      <c r="A148" s="176"/>
      <c r="B148" s="176"/>
      <c r="C148" s="176"/>
      <c r="D148" s="176"/>
      <c r="E148" s="176"/>
      <c r="F148" s="176"/>
      <c r="G148" s="176"/>
      <c r="H148" s="176"/>
      <c r="I148" s="176"/>
      <c r="J148" s="176"/>
      <c r="K148" s="176"/>
      <c r="L148" s="176"/>
      <c r="M148" s="176"/>
      <c r="N148" s="176"/>
      <c r="O148" s="176"/>
      <c r="P148" s="176"/>
      <c r="Q148" s="176"/>
      <c r="R148" s="176"/>
      <c r="S148" s="176"/>
      <c r="T148" s="176"/>
      <c r="U148" s="176"/>
      <c r="V148" s="176"/>
      <c r="W148" s="176"/>
      <c r="X148" s="176"/>
      <c r="Y148" s="176"/>
      <c r="Z148" s="176"/>
    </row>
    <row r="149" spans="1:26" ht="9.75" customHeight="1" x14ac:dyDescent="0.25">
      <c r="A149" s="176"/>
      <c r="B149" s="176"/>
      <c r="C149" s="176"/>
      <c r="D149" s="176"/>
      <c r="E149" s="176"/>
      <c r="F149" s="176"/>
      <c r="G149" s="176"/>
      <c r="H149" s="176"/>
      <c r="I149" s="176"/>
      <c r="J149" s="176"/>
      <c r="K149" s="176"/>
      <c r="L149" s="176"/>
      <c r="M149" s="176"/>
      <c r="N149" s="176"/>
      <c r="O149" s="176"/>
      <c r="P149" s="176"/>
      <c r="Q149" s="176"/>
      <c r="R149" s="176"/>
      <c r="S149" s="176"/>
      <c r="T149" s="176"/>
      <c r="U149" s="176"/>
      <c r="V149" s="176"/>
      <c r="W149" s="176"/>
      <c r="X149" s="176"/>
      <c r="Y149" s="176"/>
      <c r="Z149" s="176"/>
    </row>
    <row r="150" spans="1:26" ht="9.75" customHeight="1" x14ac:dyDescent="0.25">
      <c r="A150" s="176"/>
      <c r="B150" s="176"/>
      <c r="C150" s="176"/>
      <c r="D150" s="176"/>
      <c r="E150" s="176"/>
      <c r="F150" s="176"/>
      <c r="G150" s="176"/>
      <c r="H150" s="176"/>
      <c r="I150" s="176"/>
      <c r="J150" s="176"/>
      <c r="K150" s="176"/>
      <c r="L150" s="176"/>
      <c r="M150" s="176"/>
      <c r="N150" s="176"/>
      <c r="O150" s="176"/>
      <c r="P150" s="176"/>
      <c r="Q150" s="176"/>
      <c r="R150" s="176"/>
      <c r="S150" s="176"/>
      <c r="T150" s="176"/>
      <c r="U150" s="176"/>
      <c r="V150" s="176"/>
      <c r="W150" s="176"/>
      <c r="X150" s="176"/>
      <c r="Y150" s="176"/>
      <c r="Z150" s="176"/>
    </row>
    <row r="151" spans="1:26" ht="9.75" customHeight="1" x14ac:dyDescent="0.25">
      <c r="A151" s="176"/>
      <c r="B151" s="176"/>
      <c r="C151" s="176"/>
      <c r="D151" s="176"/>
      <c r="E151" s="176"/>
      <c r="F151" s="176"/>
      <c r="G151" s="176"/>
      <c r="H151" s="176"/>
      <c r="I151" s="176"/>
      <c r="J151" s="176"/>
      <c r="K151" s="176"/>
      <c r="L151" s="176"/>
      <c r="M151" s="176"/>
      <c r="N151" s="176"/>
      <c r="O151" s="176"/>
      <c r="P151" s="176"/>
      <c r="Q151" s="176"/>
      <c r="R151" s="176"/>
      <c r="S151" s="176"/>
      <c r="T151" s="176"/>
      <c r="U151" s="176"/>
      <c r="V151" s="176"/>
      <c r="W151" s="176"/>
      <c r="X151" s="176"/>
      <c r="Y151" s="176"/>
      <c r="Z151" s="176"/>
    </row>
    <row r="152" spans="1:26" ht="9.75" customHeight="1" x14ac:dyDescent="0.25">
      <c r="A152" s="176"/>
      <c r="B152" s="176"/>
      <c r="C152" s="176"/>
      <c r="D152" s="176"/>
      <c r="E152" s="176"/>
      <c r="F152" s="176"/>
      <c r="G152" s="176"/>
      <c r="H152" s="176"/>
      <c r="I152" s="176"/>
      <c r="J152" s="176"/>
      <c r="K152" s="176"/>
      <c r="L152" s="176"/>
      <c r="M152" s="176"/>
      <c r="N152" s="176"/>
      <c r="O152" s="176"/>
      <c r="P152" s="176"/>
      <c r="Q152" s="176"/>
      <c r="R152" s="176"/>
      <c r="S152" s="176"/>
      <c r="T152" s="176"/>
      <c r="U152" s="176"/>
      <c r="V152" s="176"/>
      <c r="W152" s="176"/>
      <c r="X152" s="176"/>
      <c r="Y152" s="176"/>
      <c r="Z152" s="176"/>
    </row>
    <row r="153" spans="1:26" ht="9.75" customHeight="1" x14ac:dyDescent="0.25">
      <c r="A153" s="176"/>
      <c r="B153" s="176"/>
      <c r="C153" s="176"/>
      <c r="D153" s="176"/>
      <c r="E153" s="176"/>
      <c r="F153" s="176"/>
      <c r="G153" s="176"/>
      <c r="H153" s="176"/>
      <c r="I153" s="176"/>
      <c r="J153" s="176"/>
      <c r="K153" s="176"/>
      <c r="L153" s="176"/>
      <c r="M153" s="176"/>
      <c r="N153" s="176"/>
      <c r="O153" s="176"/>
      <c r="P153" s="176"/>
      <c r="Q153" s="176"/>
      <c r="R153" s="176"/>
      <c r="S153" s="176"/>
      <c r="T153" s="176"/>
      <c r="U153" s="176"/>
      <c r="V153" s="176"/>
      <c r="W153" s="176"/>
      <c r="X153" s="176"/>
      <c r="Y153" s="176"/>
      <c r="Z153" s="176"/>
    </row>
    <row r="154" spans="1:26" ht="9.75" customHeight="1" x14ac:dyDescent="0.25">
      <c r="A154" s="176"/>
      <c r="B154" s="176"/>
      <c r="C154" s="176"/>
      <c r="D154" s="176"/>
      <c r="E154" s="176"/>
      <c r="F154" s="176"/>
      <c r="G154" s="176"/>
      <c r="H154" s="176"/>
      <c r="I154" s="176"/>
      <c r="J154" s="176"/>
      <c r="K154" s="176"/>
      <c r="L154" s="176"/>
      <c r="M154" s="176"/>
      <c r="N154" s="176"/>
      <c r="O154" s="176"/>
      <c r="P154" s="176"/>
      <c r="Q154" s="176"/>
      <c r="R154" s="176"/>
      <c r="S154" s="176"/>
      <c r="T154" s="176"/>
      <c r="U154" s="176"/>
      <c r="V154" s="176"/>
      <c r="W154" s="176"/>
      <c r="X154" s="176"/>
      <c r="Y154" s="176"/>
      <c r="Z154" s="176"/>
    </row>
    <row r="155" spans="1:26" ht="9.75" customHeight="1" x14ac:dyDescent="0.25">
      <c r="A155" s="176"/>
      <c r="B155" s="176"/>
      <c r="C155" s="176"/>
      <c r="D155" s="176"/>
      <c r="E155" s="176"/>
      <c r="F155" s="176"/>
      <c r="G155" s="176"/>
      <c r="H155" s="176"/>
      <c r="I155" s="176"/>
      <c r="J155" s="176"/>
      <c r="K155" s="176"/>
      <c r="L155" s="176"/>
      <c r="M155" s="176"/>
      <c r="N155" s="176"/>
      <c r="O155" s="176"/>
      <c r="P155" s="176"/>
      <c r="Q155" s="176"/>
      <c r="R155" s="176"/>
      <c r="S155" s="176"/>
      <c r="T155" s="176"/>
      <c r="U155" s="176"/>
      <c r="V155" s="176"/>
      <c r="W155" s="176"/>
      <c r="X155" s="176"/>
      <c r="Y155" s="176"/>
      <c r="Z155" s="176"/>
    </row>
    <row r="156" spans="1:26" ht="9.75" customHeight="1" x14ac:dyDescent="0.25">
      <c r="A156" s="176"/>
      <c r="B156" s="176"/>
      <c r="C156" s="176"/>
      <c r="D156" s="176"/>
      <c r="E156" s="176"/>
      <c r="F156" s="176"/>
      <c r="G156" s="176"/>
      <c r="H156" s="176"/>
      <c r="I156" s="176"/>
      <c r="J156" s="176"/>
      <c r="K156" s="176"/>
      <c r="L156" s="176"/>
      <c r="M156" s="176"/>
      <c r="N156" s="176"/>
      <c r="O156" s="176"/>
      <c r="P156" s="176"/>
      <c r="Q156" s="176"/>
      <c r="R156" s="176"/>
      <c r="S156" s="176"/>
      <c r="T156" s="176"/>
      <c r="U156" s="176"/>
      <c r="V156" s="176"/>
      <c r="W156" s="176"/>
      <c r="X156" s="176"/>
      <c r="Y156" s="176"/>
      <c r="Z156" s="176"/>
    </row>
    <row r="157" spans="1:26" ht="9.75" customHeight="1" x14ac:dyDescent="0.25">
      <c r="A157" s="176"/>
      <c r="B157" s="176"/>
      <c r="C157" s="176"/>
      <c r="D157" s="176"/>
      <c r="E157" s="176"/>
      <c r="F157" s="176"/>
      <c r="G157" s="176"/>
      <c r="H157" s="176"/>
      <c r="I157" s="176"/>
      <c r="J157" s="176"/>
      <c r="K157" s="176"/>
      <c r="L157" s="176"/>
      <c r="M157" s="176"/>
      <c r="N157" s="176"/>
      <c r="O157" s="176"/>
      <c r="P157" s="176"/>
      <c r="Q157" s="176"/>
      <c r="R157" s="176"/>
      <c r="S157" s="176"/>
      <c r="T157" s="176"/>
      <c r="U157" s="176"/>
      <c r="V157" s="176"/>
      <c r="W157" s="176"/>
      <c r="X157" s="176"/>
      <c r="Y157" s="176"/>
      <c r="Z157" s="176"/>
    </row>
    <row r="158" spans="1:26" ht="9.75" customHeight="1" x14ac:dyDescent="0.25">
      <c r="A158" s="176"/>
      <c r="B158" s="176"/>
      <c r="C158" s="176"/>
      <c r="D158" s="176"/>
      <c r="E158" s="176"/>
      <c r="F158" s="176"/>
      <c r="G158" s="176"/>
      <c r="H158" s="176"/>
      <c r="I158" s="176"/>
      <c r="J158" s="176"/>
      <c r="K158" s="176"/>
      <c r="L158" s="176"/>
      <c r="M158" s="176"/>
      <c r="N158" s="176"/>
      <c r="O158" s="176"/>
      <c r="P158" s="176"/>
      <c r="Q158" s="176"/>
      <c r="R158" s="176"/>
      <c r="S158" s="176"/>
      <c r="T158" s="176"/>
      <c r="U158" s="176"/>
      <c r="V158" s="176"/>
      <c r="W158" s="176"/>
      <c r="X158" s="176"/>
      <c r="Y158" s="176"/>
      <c r="Z158" s="176"/>
    </row>
    <row r="159" spans="1:26" ht="9.75" customHeight="1" x14ac:dyDescent="0.25">
      <c r="A159" s="176"/>
      <c r="B159" s="176"/>
      <c r="C159" s="176"/>
      <c r="D159" s="176"/>
      <c r="E159" s="176"/>
      <c r="F159" s="176"/>
      <c r="G159" s="176"/>
      <c r="H159" s="176"/>
      <c r="I159" s="176"/>
      <c r="J159" s="176"/>
      <c r="K159" s="176"/>
      <c r="L159" s="176"/>
      <c r="M159" s="176"/>
      <c r="N159" s="176"/>
      <c r="O159" s="176"/>
      <c r="P159" s="176"/>
      <c r="Q159" s="176"/>
      <c r="R159" s="176"/>
      <c r="S159" s="176"/>
      <c r="T159" s="176"/>
      <c r="U159" s="176"/>
      <c r="V159" s="176"/>
      <c r="W159" s="176"/>
      <c r="X159" s="176"/>
      <c r="Y159" s="176"/>
      <c r="Z159" s="176"/>
    </row>
    <row r="160" spans="1:26" ht="9.75" customHeight="1" x14ac:dyDescent="0.25">
      <c r="A160" s="176"/>
      <c r="B160" s="176"/>
      <c r="C160" s="176"/>
      <c r="D160" s="176"/>
      <c r="E160" s="176"/>
      <c r="F160" s="176"/>
      <c r="G160" s="176"/>
      <c r="H160" s="176"/>
      <c r="I160" s="176"/>
      <c r="J160" s="176"/>
      <c r="K160" s="176"/>
      <c r="L160" s="176"/>
      <c r="M160" s="176"/>
      <c r="N160" s="176"/>
      <c r="O160" s="176"/>
      <c r="P160" s="176"/>
      <c r="Q160" s="176"/>
      <c r="R160" s="176"/>
      <c r="S160" s="176"/>
      <c r="T160" s="176"/>
      <c r="U160" s="176"/>
      <c r="V160" s="176"/>
      <c r="W160" s="176"/>
      <c r="X160" s="176"/>
      <c r="Y160" s="176"/>
      <c r="Z160" s="176"/>
    </row>
    <row r="161" spans="1:26" ht="9.75" customHeight="1" x14ac:dyDescent="0.25">
      <c r="A161" s="176"/>
      <c r="B161" s="176"/>
      <c r="C161" s="176"/>
      <c r="D161" s="176"/>
      <c r="E161" s="176"/>
      <c r="F161" s="176"/>
      <c r="G161" s="176"/>
      <c r="H161" s="176"/>
      <c r="I161" s="176"/>
      <c r="J161" s="176"/>
      <c r="K161" s="176"/>
      <c r="L161" s="176"/>
      <c r="M161" s="176"/>
      <c r="N161" s="176"/>
      <c r="O161" s="176"/>
      <c r="P161" s="176"/>
      <c r="Q161" s="176"/>
      <c r="R161" s="176"/>
      <c r="S161" s="176"/>
      <c r="T161" s="176"/>
      <c r="U161" s="176"/>
      <c r="V161" s="176"/>
      <c r="W161" s="176"/>
      <c r="X161" s="176"/>
      <c r="Y161" s="176"/>
      <c r="Z161" s="176"/>
    </row>
    <row r="162" spans="1:26" ht="9.75" customHeight="1" x14ac:dyDescent="0.25">
      <c r="A162" s="176"/>
      <c r="B162" s="176"/>
      <c r="C162" s="176"/>
      <c r="D162" s="176"/>
      <c r="E162" s="176"/>
      <c r="F162" s="176"/>
      <c r="G162" s="176"/>
      <c r="H162" s="176"/>
      <c r="I162" s="176"/>
      <c r="J162" s="176"/>
      <c r="K162" s="176"/>
      <c r="L162" s="176"/>
      <c r="M162" s="176"/>
      <c r="N162" s="176"/>
      <c r="O162" s="176"/>
      <c r="P162" s="176"/>
      <c r="Q162" s="176"/>
      <c r="R162" s="176"/>
      <c r="S162" s="176"/>
      <c r="T162" s="176"/>
      <c r="U162" s="176"/>
      <c r="V162" s="176"/>
      <c r="W162" s="176"/>
      <c r="X162" s="176"/>
      <c r="Y162" s="176"/>
      <c r="Z162" s="176"/>
    </row>
    <row r="163" spans="1:26" ht="9.75" customHeight="1" x14ac:dyDescent="0.25">
      <c r="A163" s="176"/>
      <c r="B163" s="176"/>
      <c r="C163" s="176"/>
      <c r="D163" s="176"/>
      <c r="E163" s="176"/>
      <c r="F163" s="176"/>
      <c r="G163" s="176"/>
      <c r="H163" s="176"/>
      <c r="I163" s="176"/>
      <c r="J163" s="176"/>
      <c r="K163" s="176"/>
      <c r="L163" s="176"/>
      <c r="M163" s="176"/>
      <c r="N163" s="176"/>
      <c r="O163" s="176"/>
      <c r="P163" s="176"/>
      <c r="Q163" s="176"/>
      <c r="R163" s="176"/>
      <c r="S163" s="176"/>
      <c r="T163" s="176"/>
      <c r="U163" s="176"/>
      <c r="V163" s="176"/>
      <c r="W163" s="176"/>
      <c r="X163" s="176"/>
      <c r="Y163" s="176"/>
      <c r="Z163" s="176"/>
    </row>
    <row r="164" spans="1:26" ht="9.75" customHeight="1" x14ac:dyDescent="0.25">
      <c r="A164" s="176"/>
      <c r="B164" s="176"/>
      <c r="C164" s="176"/>
      <c r="D164" s="176"/>
      <c r="E164" s="176"/>
      <c r="F164" s="176"/>
      <c r="G164" s="176"/>
      <c r="H164" s="176"/>
      <c r="I164" s="176"/>
      <c r="J164" s="176"/>
      <c r="K164" s="176"/>
      <c r="L164" s="176"/>
      <c r="M164" s="176"/>
      <c r="N164" s="176"/>
      <c r="O164" s="176"/>
      <c r="P164" s="176"/>
      <c r="Q164" s="176"/>
      <c r="R164" s="176"/>
      <c r="S164" s="176"/>
      <c r="T164" s="176"/>
      <c r="U164" s="176"/>
      <c r="V164" s="176"/>
      <c r="W164" s="176"/>
      <c r="X164" s="176"/>
      <c r="Y164" s="176"/>
      <c r="Z164" s="176"/>
    </row>
    <row r="165" spans="1:26" ht="9.75" customHeight="1" x14ac:dyDescent="0.25">
      <c r="A165" s="176"/>
      <c r="B165" s="176"/>
      <c r="C165" s="176"/>
      <c r="D165" s="176"/>
      <c r="E165" s="176"/>
      <c r="F165" s="176"/>
      <c r="G165" s="176"/>
      <c r="H165" s="176"/>
      <c r="I165" s="176"/>
      <c r="J165" s="176"/>
      <c r="K165" s="176"/>
      <c r="L165" s="176"/>
      <c r="M165" s="176"/>
      <c r="N165" s="176"/>
      <c r="O165" s="176"/>
      <c r="P165" s="176"/>
      <c r="Q165" s="176"/>
      <c r="R165" s="176"/>
      <c r="S165" s="176"/>
      <c r="T165" s="176"/>
      <c r="U165" s="176"/>
      <c r="V165" s="176"/>
      <c r="W165" s="176"/>
      <c r="X165" s="176"/>
      <c r="Y165" s="176"/>
      <c r="Z165" s="176"/>
    </row>
    <row r="166" spans="1:26" ht="9.75" customHeight="1" x14ac:dyDescent="0.25">
      <c r="A166" s="176"/>
      <c r="B166" s="176"/>
      <c r="C166" s="176"/>
      <c r="D166" s="176"/>
      <c r="E166" s="176"/>
      <c r="F166" s="176"/>
      <c r="G166" s="176"/>
      <c r="H166" s="176"/>
      <c r="I166" s="176"/>
      <c r="J166" s="176"/>
      <c r="K166" s="176"/>
      <c r="L166" s="176"/>
      <c r="M166" s="176"/>
      <c r="N166" s="176"/>
      <c r="O166" s="176"/>
      <c r="P166" s="176"/>
      <c r="Q166" s="176"/>
      <c r="R166" s="176"/>
      <c r="S166" s="176"/>
      <c r="T166" s="176"/>
      <c r="U166" s="176"/>
      <c r="V166" s="176"/>
      <c r="W166" s="176"/>
      <c r="X166" s="176"/>
      <c r="Y166" s="176"/>
      <c r="Z166" s="176"/>
    </row>
    <row r="167" spans="1:26" ht="9.75" customHeight="1" x14ac:dyDescent="0.25">
      <c r="A167" s="176"/>
      <c r="B167" s="176"/>
      <c r="C167" s="176"/>
      <c r="D167" s="176"/>
      <c r="E167" s="176"/>
      <c r="F167" s="176"/>
      <c r="G167" s="176"/>
      <c r="H167" s="176"/>
      <c r="I167" s="176"/>
      <c r="J167" s="176"/>
      <c r="K167" s="176"/>
      <c r="L167" s="176"/>
      <c r="M167" s="176"/>
      <c r="N167" s="176"/>
      <c r="O167" s="176"/>
      <c r="P167" s="176"/>
      <c r="Q167" s="176"/>
      <c r="R167" s="176"/>
      <c r="S167" s="176"/>
      <c r="T167" s="176"/>
      <c r="U167" s="176"/>
      <c r="V167" s="176"/>
      <c r="W167" s="176"/>
      <c r="X167" s="176"/>
      <c r="Y167" s="176"/>
      <c r="Z167" s="176"/>
    </row>
    <row r="168" spans="1:26" ht="9.75" customHeight="1" x14ac:dyDescent="0.25">
      <c r="A168" s="176"/>
      <c r="B168" s="176"/>
      <c r="C168" s="176"/>
      <c r="D168" s="176"/>
      <c r="E168" s="176"/>
      <c r="F168" s="176"/>
      <c r="G168" s="176"/>
      <c r="H168" s="176"/>
      <c r="I168" s="176"/>
      <c r="J168" s="176"/>
      <c r="K168" s="176"/>
      <c r="L168" s="176"/>
      <c r="M168" s="176"/>
      <c r="N168" s="176"/>
      <c r="O168" s="176"/>
      <c r="P168" s="176"/>
      <c r="Q168" s="176"/>
      <c r="R168" s="176"/>
      <c r="S168" s="176"/>
      <c r="T168" s="176"/>
      <c r="U168" s="176"/>
      <c r="V168" s="176"/>
      <c r="W168" s="176"/>
      <c r="X168" s="176"/>
      <c r="Y168" s="176"/>
      <c r="Z168" s="176"/>
    </row>
    <row r="169" spans="1:26" ht="9.75" customHeight="1" x14ac:dyDescent="0.25">
      <c r="A169" s="176"/>
      <c r="B169" s="176"/>
      <c r="C169" s="176"/>
      <c r="D169" s="176"/>
      <c r="E169" s="176"/>
      <c r="F169" s="176"/>
      <c r="G169" s="176"/>
      <c r="H169" s="176"/>
      <c r="I169" s="176"/>
      <c r="J169" s="176"/>
      <c r="K169" s="176"/>
      <c r="L169" s="176"/>
      <c r="M169" s="176"/>
      <c r="N169" s="176"/>
      <c r="O169" s="176"/>
      <c r="P169" s="176"/>
      <c r="Q169" s="176"/>
      <c r="R169" s="176"/>
      <c r="S169" s="176"/>
      <c r="T169" s="176"/>
      <c r="U169" s="176"/>
      <c r="V169" s="176"/>
      <c r="W169" s="176"/>
      <c r="X169" s="176"/>
      <c r="Y169" s="176"/>
      <c r="Z169" s="176"/>
    </row>
    <row r="170" spans="1:26" ht="9.75" customHeight="1" x14ac:dyDescent="0.25">
      <c r="A170" s="176"/>
      <c r="B170" s="176"/>
      <c r="C170" s="176"/>
      <c r="D170" s="176"/>
      <c r="E170" s="176"/>
      <c r="F170" s="176"/>
      <c r="G170" s="176"/>
      <c r="H170" s="176"/>
      <c r="I170" s="176"/>
      <c r="J170" s="176"/>
      <c r="K170" s="176"/>
      <c r="L170" s="176"/>
      <c r="M170" s="176"/>
      <c r="N170" s="176"/>
      <c r="O170" s="176"/>
      <c r="P170" s="176"/>
      <c r="Q170" s="176"/>
      <c r="R170" s="176"/>
      <c r="S170" s="176"/>
      <c r="T170" s="176"/>
      <c r="U170" s="176"/>
      <c r="V170" s="176"/>
      <c r="W170" s="176"/>
      <c r="X170" s="176"/>
      <c r="Y170" s="176"/>
      <c r="Z170" s="176"/>
    </row>
    <row r="171" spans="1:26" ht="9.75" customHeight="1" x14ac:dyDescent="0.25">
      <c r="A171" s="176"/>
      <c r="B171" s="176"/>
      <c r="C171" s="176"/>
      <c r="D171" s="176"/>
      <c r="E171" s="176"/>
      <c r="F171" s="176"/>
      <c r="G171" s="176"/>
      <c r="H171" s="176"/>
      <c r="I171" s="176"/>
      <c r="J171" s="176"/>
      <c r="K171" s="176"/>
      <c r="L171" s="176"/>
      <c r="M171" s="176"/>
      <c r="N171" s="176"/>
      <c r="O171" s="176"/>
      <c r="P171" s="176"/>
      <c r="Q171" s="176"/>
      <c r="R171" s="176"/>
      <c r="S171" s="176"/>
      <c r="T171" s="176"/>
      <c r="U171" s="176"/>
      <c r="V171" s="176"/>
      <c r="W171" s="176"/>
      <c r="X171" s="176"/>
      <c r="Y171" s="176"/>
      <c r="Z171" s="176"/>
    </row>
    <row r="172" spans="1:26" ht="9.75" customHeight="1" x14ac:dyDescent="0.25">
      <c r="A172" s="176"/>
      <c r="B172" s="176"/>
      <c r="C172" s="176"/>
      <c r="D172" s="176"/>
      <c r="E172" s="176"/>
      <c r="F172" s="176"/>
      <c r="G172" s="176"/>
      <c r="H172" s="176"/>
      <c r="I172" s="176"/>
      <c r="J172" s="176"/>
      <c r="K172" s="176"/>
      <c r="L172" s="176"/>
      <c r="M172" s="176"/>
      <c r="N172" s="176"/>
      <c r="O172" s="176"/>
      <c r="P172" s="176"/>
      <c r="Q172" s="176"/>
      <c r="R172" s="176"/>
      <c r="S172" s="176"/>
      <c r="T172" s="176"/>
      <c r="U172" s="176"/>
      <c r="V172" s="176"/>
      <c r="W172" s="176"/>
      <c r="X172" s="176"/>
      <c r="Y172" s="176"/>
      <c r="Z172" s="176"/>
    </row>
    <row r="173" spans="1:26" ht="9.75" customHeight="1" x14ac:dyDescent="0.25">
      <c r="A173" s="176"/>
      <c r="B173" s="176"/>
      <c r="C173" s="176"/>
      <c r="D173" s="176"/>
      <c r="E173" s="176"/>
      <c r="F173" s="176"/>
      <c r="G173" s="176"/>
      <c r="H173" s="176"/>
      <c r="I173" s="176"/>
      <c r="J173" s="176"/>
      <c r="K173" s="176"/>
      <c r="L173" s="176"/>
      <c r="M173" s="176"/>
      <c r="N173" s="176"/>
      <c r="O173" s="176"/>
      <c r="P173" s="176"/>
      <c r="Q173" s="176"/>
      <c r="R173" s="176"/>
      <c r="S173" s="176"/>
      <c r="T173" s="176"/>
      <c r="U173" s="176"/>
      <c r="V173" s="176"/>
      <c r="W173" s="176"/>
      <c r="X173" s="176"/>
      <c r="Y173" s="176"/>
      <c r="Z173" s="176"/>
    </row>
    <row r="174" spans="1:26" ht="9.75" customHeight="1" x14ac:dyDescent="0.25">
      <c r="A174" s="176"/>
      <c r="B174" s="176"/>
      <c r="C174" s="176"/>
      <c r="D174" s="176"/>
      <c r="E174" s="176"/>
      <c r="F174" s="176"/>
      <c r="G174" s="176"/>
      <c r="H174" s="176"/>
      <c r="I174" s="176"/>
      <c r="J174" s="176"/>
      <c r="K174" s="176"/>
      <c r="L174" s="176"/>
      <c r="M174" s="176"/>
      <c r="N174" s="176"/>
      <c r="O174" s="176"/>
      <c r="P174" s="176"/>
      <c r="Q174" s="176"/>
      <c r="R174" s="176"/>
      <c r="S174" s="176"/>
      <c r="T174" s="176"/>
      <c r="U174" s="176"/>
      <c r="V174" s="176"/>
      <c r="W174" s="176"/>
      <c r="X174" s="176"/>
      <c r="Y174" s="176"/>
      <c r="Z174" s="176"/>
    </row>
    <row r="175" spans="1:26" ht="9.75" customHeight="1" x14ac:dyDescent="0.25">
      <c r="A175" s="176"/>
      <c r="B175" s="176"/>
      <c r="C175" s="176"/>
      <c r="D175" s="176"/>
      <c r="E175" s="176"/>
      <c r="F175" s="176"/>
      <c r="G175" s="176"/>
      <c r="H175" s="176"/>
      <c r="I175" s="176"/>
      <c r="J175" s="176"/>
      <c r="K175" s="176"/>
      <c r="L175" s="176"/>
      <c r="M175" s="176"/>
      <c r="N175" s="176"/>
      <c r="O175" s="176"/>
      <c r="P175" s="176"/>
      <c r="Q175" s="176"/>
      <c r="R175" s="176"/>
      <c r="S175" s="176"/>
      <c r="T175" s="176"/>
      <c r="U175" s="176"/>
      <c r="V175" s="176"/>
      <c r="W175" s="176"/>
      <c r="X175" s="176"/>
      <c r="Y175" s="176"/>
      <c r="Z175" s="176"/>
    </row>
    <row r="176" spans="1:26" ht="9.75" customHeight="1" x14ac:dyDescent="0.25">
      <c r="A176" s="176"/>
      <c r="B176" s="176"/>
      <c r="C176" s="176"/>
      <c r="D176" s="176"/>
      <c r="E176" s="176"/>
      <c r="F176" s="176"/>
      <c r="G176" s="176"/>
      <c r="H176" s="176"/>
      <c r="I176" s="176"/>
      <c r="J176" s="176"/>
      <c r="K176" s="176"/>
      <c r="L176" s="176"/>
      <c r="M176" s="176"/>
      <c r="N176" s="176"/>
      <c r="O176" s="176"/>
      <c r="P176" s="176"/>
      <c r="Q176" s="176"/>
      <c r="R176" s="176"/>
      <c r="S176" s="176"/>
      <c r="T176" s="176"/>
      <c r="U176" s="176"/>
      <c r="V176" s="176"/>
      <c r="W176" s="176"/>
      <c r="X176" s="176"/>
      <c r="Y176" s="176"/>
      <c r="Z176" s="176"/>
    </row>
    <row r="177" spans="1:26" ht="9.75" customHeight="1" x14ac:dyDescent="0.25">
      <c r="A177" s="176"/>
      <c r="B177" s="176"/>
      <c r="C177" s="176"/>
      <c r="D177" s="176"/>
      <c r="E177" s="176"/>
      <c r="F177" s="176"/>
      <c r="G177" s="176"/>
      <c r="H177" s="176"/>
      <c r="I177" s="176"/>
      <c r="J177" s="176"/>
      <c r="K177" s="176"/>
      <c r="L177" s="176"/>
      <c r="M177" s="176"/>
      <c r="N177" s="176"/>
      <c r="O177" s="176"/>
      <c r="P177" s="176"/>
      <c r="Q177" s="176"/>
      <c r="R177" s="176"/>
      <c r="S177" s="176"/>
      <c r="T177" s="176"/>
      <c r="U177" s="176"/>
      <c r="V177" s="176"/>
      <c r="W177" s="176"/>
      <c r="X177" s="176"/>
      <c r="Y177" s="176"/>
      <c r="Z177" s="176"/>
    </row>
    <row r="178" spans="1:26" ht="9.75" customHeight="1" x14ac:dyDescent="0.25">
      <c r="A178" s="176"/>
      <c r="B178" s="176"/>
      <c r="C178" s="176"/>
      <c r="D178" s="176"/>
      <c r="E178" s="176"/>
      <c r="F178" s="176"/>
      <c r="G178" s="176"/>
      <c r="H178" s="176"/>
      <c r="I178" s="176"/>
      <c r="J178" s="176"/>
      <c r="K178" s="176"/>
      <c r="L178" s="176"/>
      <c r="M178" s="176"/>
      <c r="N178" s="176"/>
      <c r="O178" s="176"/>
      <c r="P178" s="176"/>
      <c r="Q178" s="176"/>
      <c r="R178" s="176"/>
      <c r="S178" s="176"/>
      <c r="T178" s="176"/>
      <c r="U178" s="176"/>
      <c r="V178" s="176"/>
      <c r="W178" s="176"/>
      <c r="X178" s="176"/>
      <c r="Y178" s="176"/>
      <c r="Z178" s="176"/>
    </row>
    <row r="179" spans="1:26" ht="9.75" customHeight="1" x14ac:dyDescent="0.25">
      <c r="A179" s="176"/>
      <c r="B179" s="176"/>
      <c r="C179" s="176"/>
      <c r="D179" s="176"/>
      <c r="E179" s="176"/>
      <c r="F179" s="176"/>
      <c r="G179" s="176"/>
      <c r="H179" s="176"/>
      <c r="I179" s="176"/>
      <c r="J179" s="176"/>
      <c r="K179" s="176"/>
      <c r="L179" s="176"/>
      <c r="M179" s="176"/>
      <c r="N179" s="176"/>
      <c r="O179" s="176"/>
      <c r="P179" s="176"/>
      <c r="Q179" s="176"/>
      <c r="R179" s="176"/>
      <c r="S179" s="176"/>
      <c r="T179" s="176"/>
      <c r="U179" s="176"/>
      <c r="V179" s="176"/>
      <c r="W179" s="176"/>
      <c r="X179" s="176"/>
      <c r="Y179" s="176"/>
      <c r="Z179" s="176"/>
    </row>
    <row r="180" spans="1:26" ht="9.75" customHeight="1" x14ac:dyDescent="0.25">
      <c r="A180" s="176"/>
      <c r="B180" s="176"/>
      <c r="C180" s="176"/>
      <c r="D180" s="176"/>
      <c r="E180" s="176"/>
      <c r="F180" s="176"/>
      <c r="G180" s="176"/>
      <c r="H180" s="176"/>
      <c r="I180" s="176"/>
      <c r="J180" s="176"/>
      <c r="K180" s="176"/>
      <c r="L180" s="176"/>
      <c r="M180" s="176"/>
      <c r="N180" s="176"/>
      <c r="O180" s="176"/>
      <c r="P180" s="176"/>
      <c r="Q180" s="176"/>
      <c r="R180" s="176"/>
      <c r="S180" s="176"/>
      <c r="T180" s="176"/>
      <c r="U180" s="176"/>
      <c r="V180" s="176"/>
      <c r="W180" s="176"/>
      <c r="X180" s="176"/>
      <c r="Y180" s="176"/>
      <c r="Z180" s="176"/>
    </row>
    <row r="181" spans="1:26" ht="9.75" customHeight="1" x14ac:dyDescent="0.25">
      <c r="A181" s="176"/>
      <c r="B181" s="176"/>
      <c r="C181" s="176"/>
      <c r="D181" s="176"/>
      <c r="E181" s="176"/>
      <c r="F181" s="176"/>
      <c r="G181" s="176"/>
      <c r="H181" s="176"/>
      <c r="I181" s="176"/>
      <c r="J181" s="176"/>
      <c r="K181" s="176"/>
      <c r="L181" s="176"/>
      <c r="M181" s="176"/>
      <c r="N181" s="176"/>
      <c r="O181" s="176"/>
      <c r="P181" s="176"/>
      <c r="Q181" s="176"/>
      <c r="R181" s="176"/>
      <c r="S181" s="176"/>
      <c r="T181" s="176"/>
      <c r="U181" s="176"/>
      <c r="V181" s="176"/>
      <c r="W181" s="176"/>
      <c r="X181" s="176"/>
      <c r="Y181" s="176"/>
      <c r="Z181" s="176"/>
    </row>
    <row r="182" spans="1:26" ht="9.75" customHeight="1" x14ac:dyDescent="0.25">
      <c r="A182" s="176"/>
      <c r="B182" s="176"/>
      <c r="C182" s="176"/>
      <c r="D182" s="176"/>
      <c r="E182" s="176"/>
      <c r="F182" s="176"/>
      <c r="G182" s="176"/>
      <c r="H182" s="176"/>
      <c r="I182" s="176"/>
      <c r="J182" s="176"/>
      <c r="K182" s="176"/>
      <c r="L182" s="176"/>
      <c r="M182" s="176"/>
      <c r="N182" s="176"/>
      <c r="O182" s="176"/>
      <c r="P182" s="176"/>
      <c r="Q182" s="176"/>
      <c r="R182" s="176"/>
      <c r="S182" s="176"/>
      <c r="T182" s="176"/>
      <c r="U182" s="176"/>
      <c r="V182" s="176"/>
      <c r="W182" s="176"/>
      <c r="X182" s="176"/>
      <c r="Y182" s="176"/>
      <c r="Z182" s="176"/>
    </row>
    <row r="183" spans="1:26" ht="9.75" customHeight="1" x14ac:dyDescent="0.25">
      <c r="A183" s="176"/>
      <c r="B183" s="176"/>
      <c r="C183" s="176"/>
      <c r="D183" s="176"/>
      <c r="E183" s="176"/>
      <c r="F183" s="176"/>
      <c r="G183" s="176"/>
      <c r="H183" s="176"/>
      <c r="I183" s="176"/>
      <c r="J183" s="176"/>
      <c r="K183" s="176"/>
      <c r="L183" s="176"/>
      <c r="M183" s="176"/>
      <c r="N183" s="176"/>
      <c r="O183" s="176"/>
      <c r="P183" s="176"/>
      <c r="Q183" s="176"/>
      <c r="R183" s="176"/>
      <c r="S183" s="176"/>
      <c r="T183" s="176"/>
      <c r="U183" s="176"/>
      <c r="V183" s="176"/>
      <c r="W183" s="176"/>
      <c r="X183" s="176"/>
      <c r="Y183" s="176"/>
      <c r="Z183" s="176"/>
    </row>
    <row r="184" spans="1:26" ht="9.75" customHeight="1" x14ac:dyDescent="0.25">
      <c r="A184" s="176"/>
      <c r="B184" s="176"/>
      <c r="C184" s="176"/>
      <c r="D184" s="176"/>
      <c r="E184" s="176"/>
      <c r="F184" s="176"/>
      <c r="G184" s="176"/>
      <c r="H184" s="176"/>
      <c r="I184" s="176"/>
      <c r="J184" s="176"/>
      <c r="K184" s="176"/>
      <c r="L184" s="176"/>
      <c r="M184" s="176"/>
      <c r="N184" s="176"/>
      <c r="O184" s="176"/>
      <c r="P184" s="176"/>
      <c r="Q184" s="176"/>
      <c r="R184" s="176"/>
      <c r="S184" s="176"/>
      <c r="T184" s="176"/>
      <c r="U184" s="176"/>
      <c r="V184" s="176"/>
      <c r="W184" s="176"/>
      <c r="X184" s="176"/>
      <c r="Y184" s="176"/>
      <c r="Z184" s="176"/>
    </row>
    <row r="185" spans="1:26" ht="9.75" customHeight="1" x14ac:dyDescent="0.25">
      <c r="A185" s="176"/>
      <c r="B185" s="176"/>
      <c r="C185" s="176"/>
      <c r="D185" s="176"/>
      <c r="E185" s="176"/>
      <c r="F185" s="176"/>
      <c r="G185" s="176"/>
      <c r="H185" s="176"/>
      <c r="I185" s="176"/>
      <c r="J185" s="176"/>
      <c r="K185" s="176"/>
      <c r="L185" s="176"/>
      <c r="M185" s="176"/>
      <c r="N185" s="176"/>
      <c r="O185" s="176"/>
      <c r="P185" s="176"/>
      <c r="Q185" s="176"/>
      <c r="R185" s="176"/>
      <c r="S185" s="176"/>
      <c r="T185" s="176"/>
      <c r="U185" s="176"/>
      <c r="V185" s="176"/>
      <c r="W185" s="176"/>
      <c r="X185" s="176"/>
      <c r="Y185" s="176"/>
      <c r="Z185" s="176"/>
    </row>
    <row r="186" spans="1:26" ht="9.75" customHeight="1" x14ac:dyDescent="0.25">
      <c r="A186" s="176"/>
      <c r="B186" s="176"/>
      <c r="C186" s="176"/>
      <c r="D186" s="176"/>
      <c r="E186" s="176"/>
      <c r="F186" s="176"/>
      <c r="G186" s="176"/>
      <c r="H186" s="176"/>
      <c r="I186" s="176"/>
      <c r="J186" s="176"/>
      <c r="K186" s="176"/>
      <c r="L186" s="176"/>
      <c r="M186" s="176"/>
      <c r="N186" s="176"/>
      <c r="O186" s="176"/>
      <c r="P186" s="176"/>
      <c r="Q186" s="176"/>
      <c r="R186" s="176"/>
      <c r="S186" s="176"/>
      <c r="T186" s="176"/>
      <c r="U186" s="176"/>
      <c r="V186" s="176"/>
      <c r="W186" s="176"/>
      <c r="X186" s="176"/>
      <c r="Y186" s="176"/>
      <c r="Z186" s="176"/>
    </row>
    <row r="187" spans="1:26" ht="9.75" customHeight="1" x14ac:dyDescent="0.25">
      <c r="A187" s="176"/>
      <c r="B187" s="176"/>
      <c r="C187" s="176"/>
      <c r="D187" s="176"/>
      <c r="E187" s="176"/>
      <c r="F187" s="176"/>
      <c r="G187" s="176"/>
      <c r="H187" s="176"/>
      <c r="I187" s="176"/>
      <c r="J187" s="176"/>
      <c r="K187" s="176"/>
      <c r="L187" s="176"/>
      <c r="M187" s="176"/>
      <c r="N187" s="176"/>
      <c r="O187" s="176"/>
      <c r="P187" s="176"/>
      <c r="Q187" s="176"/>
      <c r="R187" s="176"/>
      <c r="S187" s="176"/>
      <c r="T187" s="176"/>
      <c r="U187" s="176"/>
      <c r="V187" s="176"/>
      <c r="W187" s="176"/>
      <c r="X187" s="176"/>
      <c r="Y187" s="176"/>
      <c r="Z187" s="176"/>
    </row>
    <row r="188" spans="1:26" ht="9.75" customHeight="1" x14ac:dyDescent="0.25">
      <c r="A188" s="176"/>
      <c r="B188" s="176"/>
      <c r="C188" s="176"/>
      <c r="D188" s="176"/>
      <c r="E188" s="176"/>
      <c r="F188" s="176"/>
      <c r="G188" s="176"/>
      <c r="H188" s="176"/>
      <c r="I188" s="176"/>
      <c r="J188" s="176"/>
      <c r="K188" s="176"/>
      <c r="L188" s="176"/>
      <c r="M188" s="176"/>
      <c r="N188" s="176"/>
      <c r="O188" s="176"/>
      <c r="P188" s="176"/>
      <c r="Q188" s="176"/>
      <c r="R188" s="176"/>
      <c r="S188" s="176"/>
      <c r="T188" s="176"/>
      <c r="U188" s="176"/>
      <c r="V188" s="176"/>
      <c r="W188" s="176"/>
      <c r="X188" s="176"/>
      <c r="Y188" s="176"/>
      <c r="Z188" s="176"/>
    </row>
    <row r="189" spans="1:26" ht="9.75" customHeight="1" x14ac:dyDescent="0.25">
      <c r="A189" s="176"/>
      <c r="B189" s="176"/>
      <c r="C189" s="176"/>
      <c r="D189" s="176"/>
      <c r="E189" s="176"/>
      <c r="F189" s="176"/>
      <c r="G189" s="176"/>
      <c r="H189" s="176"/>
      <c r="I189" s="176"/>
      <c r="J189" s="176"/>
      <c r="K189" s="176"/>
      <c r="L189" s="176"/>
      <c r="M189" s="176"/>
      <c r="N189" s="176"/>
      <c r="O189" s="176"/>
      <c r="P189" s="176"/>
      <c r="Q189" s="176"/>
      <c r="R189" s="176"/>
      <c r="S189" s="176"/>
      <c r="T189" s="176"/>
      <c r="U189" s="176"/>
      <c r="V189" s="176"/>
      <c r="W189" s="176"/>
      <c r="X189" s="176"/>
      <c r="Y189" s="176"/>
      <c r="Z189" s="176"/>
    </row>
    <row r="190" spans="1:26" ht="9.75" customHeight="1" x14ac:dyDescent="0.25">
      <c r="A190" s="176"/>
      <c r="B190" s="176"/>
      <c r="C190" s="176"/>
      <c r="D190" s="176"/>
      <c r="E190" s="176"/>
      <c r="F190" s="176"/>
      <c r="G190" s="176"/>
      <c r="H190" s="176"/>
      <c r="I190" s="176"/>
      <c r="J190" s="176"/>
      <c r="K190" s="176"/>
      <c r="L190" s="176"/>
      <c r="M190" s="176"/>
      <c r="N190" s="176"/>
      <c r="O190" s="176"/>
      <c r="P190" s="176"/>
      <c r="Q190" s="176"/>
      <c r="R190" s="176"/>
      <c r="S190" s="176"/>
      <c r="T190" s="176"/>
      <c r="U190" s="176"/>
      <c r="V190" s="176"/>
      <c r="W190" s="176"/>
      <c r="X190" s="176"/>
      <c r="Y190" s="176"/>
      <c r="Z190" s="176"/>
    </row>
    <row r="191" spans="1:26" ht="9.75" customHeight="1" x14ac:dyDescent="0.25">
      <c r="A191" s="176"/>
      <c r="B191" s="176"/>
      <c r="C191" s="176"/>
      <c r="D191" s="176"/>
      <c r="E191" s="176"/>
      <c r="F191" s="176"/>
      <c r="G191" s="176"/>
      <c r="H191" s="176"/>
      <c r="I191" s="176"/>
      <c r="J191" s="176"/>
      <c r="K191" s="176"/>
      <c r="L191" s="176"/>
      <c r="M191" s="176"/>
      <c r="N191" s="176"/>
      <c r="O191" s="176"/>
      <c r="P191" s="176"/>
      <c r="Q191" s="176"/>
      <c r="R191" s="176"/>
      <c r="S191" s="176"/>
      <c r="T191" s="176"/>
      <c r="U191" s="176"/>
      <c r="V191" s="176"/>
      <c r="W191" s="176"/>
      <c r="X191" s="176"/>
      <c r="Y191" s="176"/>
      <c r="Z191" s="176"/>
    </row>
    <row r="192" spans="1:26" ht="9.75" customHeight="1" x14ac:dyDescent="0.25">
      <c r="A192" s="176"/>
      <c r="B192" s="176"/>
      <c r="C192" s="176"/>
      <c r="D192" s="176"/>
      <c r="E192" s="176"/>
      <c r="F192" s="176"/>
      <c r="G192" s="176"/>
      <c r="H192" s="176"/>
      <c r="I192" s="176"/>
      <c r="J192" s="176"/>
      <c r="K192" s="176"/>
      <c r="L192" s="176"/>
      <c r="M192" s="176"/>
      <c r="N192" s="176"/>
      <c r="O192" s="176"/>
      <c r="P192" s="176"/>
      <c r="Q192" s="176"/>
      <c r="R192" s="176"/>
      <c r="S192" s="176"/>
      <c r="T192" s="176"/>
      <c r="U192" s="176"/>
      <c r="V192" s="176"/>
      <c r="W192" s="176"/>
      <c r="X192" s="176"/>
      <c r="Y192" s="176"/>
      <c r="Z192" s="176"/>
    </row>
    <row r="193" spans="1:26" ht="9.75" customHeight="1" x14ac:dyDescent="0.25">
      <c r="A193" s="176"/>
      <c r="B193" s="176"/>
      <c r="C193" s="176"/>
      <c r="D193" s="176"/>
      <c r="E193" s="176"/>
      <c r="F193" s="176"/>
      <c r="G193" s="176"/>
      <c r="H193" s="176"/>
      <c r="I193" s="176"/>
      <c r="J193" s="176"/>
      <c r="K193" s="176"/>
      <c r="L193" s="176"/>
      <c r="M193" s="176"/>
      <c r="N193" s="176"/>
      <c r="O193" s="176"/>
      <c r="P193" s="176"/>
      <c r="Q193" s="176"/>
      <c r="R193" s="176"/>
      <c r="S193" s="176"/>
      <c r="T193" s="176"/>
      <c r="U193" s="176"/>
      <c r="V193" s="176"/>
      <c r="W193" s="176"/>
      <c r="X193" s="176"/>
      <c r="Y193" s="176"/>
      <c r="Z193" s="176"/>
    </row>
    <row r="194" spans="1:26" ht="9.75" customHeight="1" x14ac:dyDescent="0.25">
      <c r="A194" s="176"/>
      <c r="B194" s="176"/>
      <c r="C194" s="176"/>
      <c r="D194" s="176"/>
      <c r="E194" s="176"/>
      <c r="F194" s="176"/>
      <c r="G194" s="176"/>
      <c r="H194" s="176"/>
      <c r="I194" s="176"/>
      <c r="J194" s="176"/>
      <c r="K194" s="176"/>
      <c r="L194" s="176"/>
      <c r="M194" s="176"/>
      <c r="N194" s="176"/>
      <c r="O194" s="176"/>
      <c r="P194" s="176"/>
      <c r="Q194" s="176"/>
      <c r="R194" s="176"/>
      <c r="S194" s="176"/>
      <c r="T194" s="176"/>
      <c r="U194" s="176"/>
      <c r="V194" s="176"/>
      <c r="W194" s="176"/>
      <c r="X194" s="176"/>
      <c r="Y194" s="176"/>
      <c r="Z194" s="176"/>
    </row>
    <row r="195" spans="1:26" ht="9.75" customHeight="1" x14ac:dyDescent="0.25">
      <c r="A195" s="176"/>
      <c r="B195" s="176"/>
      <c r="C195" s="176"/>
      <c r="D195" s="176"/>
      <c r="E195" s="176"/>
      <c r="F195" s="176"/>
      <c r="G195" s="176"/>
      <c r="H195" s="176"/>
      <c r="I195" s="176"/>
      <c r="J195" s="176"/>
      <c r="K195" s="176"/>
      <c r="L195" s="176"/>
      <c r="M195" s="176"/>
      <c r="N195" s="176"/>
      <c r="O195" s="176"/>
      <c r="P195" s="176"/>
      <c r="Q195" s="176"/>
      <c r="R195" s="176"/>
      <c r="S195" s="176"/>
      <c r="T195" s="176"/>
      <c r="U195" s="176"/>
      <c r="V195" s="176"/>
      <c r="W195" s="176"/>
      <c r="X195" s="176"/>
      <c r="Y195" s="176"/>
      <c r="Z195" s="176"/>
    </row>
    <row r="196" spans="1:26" ht="9.75" customHeight="1" x14ac:dyDescent="0.25">
      <c r="A196" s="176"/>
      <c r="B196" s="176"/>
      <c r="C196" s="176"/>
      <c r="D196" s="176"/>
      <c r="E196" s="176"/>
      <c r="F196" s="176"/>
      <c r="G196" s="176"/>
      <c r="H196" s="176"/>
      <c r="I196" s="176"/>
      <c r="J196" s="176"/>
      <c r="K196" s="176"/>
      <c r="L196" s="176"/>
      <c r="M196" s="176"/>
      <c r="N196" s="176"/>
      <c r="O196" s="176"/>
      <c r="P196" s="176"/>
      <c r="Q196" s="176"/>
      <c r="R196" s="176"/>
      <c r="S196" s="176"/>
      <c r="T196" s="176"/>
      <c r="U196" s="176"/>
      <c r="V196" s="176"/>
      <c r="W196" s="176"/>
      <c r="X196" s="176"/>
      <c r="Y196" s="176"/>
      <c r="Z196" s="176"/>
    </row>
    <row r="197" spans="1:26" ht="9.75" customHeight="1" x14ac:dyDescent="0.25">
      <c r="A197" s="176"/>
      <c r="B197" s="176"/>
      <c r="C197" s="176"/>
      <c r="D197" s="176"/>
      <c r="E197" s="176"/>
      <c r="F197" s="176"/>
      <c r="G197" s="176"/>
      <c r="H197" s="176"/>
      <c r="I197" s="176"/>
      <c r="J197" s="176"/>
      <c r="K197" s="176"/>
      <c r="L197" s="176"/>
      <c r="M197" s="176"/>
      <c r="N197" s="176"/>
      <c r="O197" s="176"/>
      <c r="P197" s="176"/>
      <c r="Q197" s="176"/>
      <c r="R197" s="176"/>
      <c r="S197" s="176"/>
      <c r="T197" s="176"/>
      <c r="U197" s="176"/>
      <c r="V197" s="176"/>
      <c r="W197" s="176"/>
      <c r="X197" s="176"/>
      <c r="Y197" s="176"/>
      <c r="Z197" s="176"/>
    </row>
    <row r="198" spans="1:26" ht="9.75" customHeight="1" x14ac:dyDescent="0.25">
      <c r="A198" s="176"/>
      <c r="B198" s="176"/>
      <c r="C198" s="176"/>
      <c r="D198" s="176"/>
      <c r="E198" s="176"/>
      <c r="F198" s="176"/>
      <c r="G198" s="176"/>
      <c r="H198" s="176"/>
      <c r="I198" s="176"/>
      <c r="J198" s="176"/>
      <c r="K198" s="176"/>
      <c r="L198" s="176"/>
      <c r="M198" s="176"/>
      <c r="N198" s="176"/>
      <c r="O198" s="176"/>
      <c r="P198" s="176"/>
      <c r="Q198" s="176"/>
      <c r="R198" s="176"/>
      <c r="S198" s="176"/>
      <c r="T198" s="176"/>
      <c r="U198" s="176"/>
      <c r="V198" s="176"/>
      <c r="W198" s="176"/>
      <c r="X198" s="176"/>
      <c r="Y198" s="176"/>
      <c r="Z198" s="176"/>
    </row>
    <row r="199" spans="1:26" ht="9.75" customHeight="1" x14ac:dyDescent="0.25">
      <c r="A199" s="176"/>
      <c r="B199" s="176"/>
      <c r="C199" s="176"/>
      <c r="D199" s="176"/>
      <c r="E199" s="176"/>
      <c r="F199" s="176"/>
      <c r="G199" s="176"/>
      <c r="H199" s="176"/>
      <c r="I199" s="176"/>
      <c r="J199" s="176"/>
      <c r="K199" s="176"/>
      <c r="L199" s="176"/>
      <c r="M199" s="176"/>
      <c r="N199" s="176"/>
      <c r="O199" s="176"/>
      <c r="P199" s="176"/>
      <c r="Q199" s="176"/>
      <c r="R199" s="176"/>
      <c r="S199" s="176"/>
      <c r="T199" s="176"/>
      <c r="U199" s="176"/>
      <c r="V199" s="176"/>
      <c r="W199" s="176"/>
      <c r="X199" s="176"/>
      <c r="Y199" s="176"/>
      <c r="Z199" s="176"/>
    </row>
    <row r="200" spans="1:26" ht="9.75" customHeight="1" x14ac:dyDescent="0.25">
      <c r="A200" s="176"/>
      <c r="B200" s="176"/>
      <c r="C200" s="176"/>
      <c r="D200" s="176"/>
      <c r="E200" s="176"/>
      <c r="F200" s="176"/>
      <c r="G200" s="176"/>
      <c r="H200" s="176"/>
      <c r="I200" s="176"/>
      <c r="J200" s="176"/>
      <c r="K200" s="176"/>
      <c r="L200" s="176"/>
      <c r="M200" s="176"/>
      <c r="N200" s="176"/>
      <c r="O200" s="176"/>
      <c r="P200" s="176"/>
      <c r="Q200" s="176"/>
      <c r="R200" s="176"/>
      <c r="S200" s="176"/>
      <c r="T200" s="176"/>
      <c r="U200" s="176"/>
      <c r="V200" s="176"/>
      <c r="W200" s="176"/>
      <c r="X200" s="176"/>
      <c r="Y200" s="176"/>
      <c r="Z200" s="176"/>
    </row>
    <row r="201" spans="1:26" ht="9.75" customHeight="1" x14ac:dyDescent="0.25">
      <c r="A201" s="176"/>
      <c r="B201" s="176"/>
      <c r="C201" s="176"/>
      <c r="D201" s="176"/>
      <c r="E201" s="176"/>
      <c r="F201" s="176"/>
      <c r="G201" s="176"/>
      <c r="H201" s="176"/>
      <c r="I201" s="176"/>
      <c r="J201" s="176"/>
      <c r="K201" s="176"/>
      <c r="L201" s="176"/>
      <c r="M201" s="176"/>
      <c r="N201" s="176"/>
      <c r="O201" s="176"/>
      <c r="P201" s="176"/>
      <c r="Q201" s="176"/>
      <c r="R201" s="176"/>
      <c r="S201" s="176"/>
      <c r="T201" s="176"/>
      <c r="U201" s="176"/>
      <c r="V201" s="176"/>
      <c r="W201" s="176"/>
      <c r="X201" s="176"/>
      <c r="Y201" s="176"/>
      <c r="Z201" s="176"/>
    </row>
    <row r="202" spans="1:26" ht="9.75" customHeight="1" x14ac:dyDescent="0.25">
      <c r="A202" s="176"/>
      <c r="B202" s="176"/>
      <c r="C202" s="176"/>
      <c r="D202" s="176"/>
      <c r="E202" s="176"/>
      <c r="F202" s="176"/>
      <c r="G202" s="176"/>
      <c r="H202" s="176"/>
      <c r="I202" s="176"/>
      <c r="J202" s="176"/>
      <c r="K202" s="176"/>
      <c r="L202" s="176"/>
      <c r="M202" s="176"/>
      <c r="N202" s="176"/>
      <c r="O202" s="176"/>
      <c r="P202" s="176"/>
      <c r="Q202" s="176"/>
      <c r="R202" s="176"/>
      <c r="S202" s="176"/>
      <c r="T202" s="176"/>
      <c r="U202" s="176"/>
      <c r="V202" s="176"/>
      <c r="W202" s="176"/>
      <c r="X202" s="176"/>
      <c r="Y202" s="176"/>
      <c r="Z202" s="176"/>
    </row>
    <row r="203" spans="1:26" ht="9.75" customHeight="1" x14ac:dyDescent="0.25">
      <c r="A203" s="176"/>
      <c r="B203" s="176"/>
      <c r="C203" s="176"/>
      <c r="D203" s="176"/>
      <c r="E203" s="176"/>
      <c r="F203" s="176"/>
      <c r="G203" s="176"/>
      <c r="H203" s="176"/>
      <c r="I203" s="176"/>
      <c r="J203" s="176"/>
      <c r="K203" s="176"/>
      <c r="L203" s="176"/>
      <c r="M203" s="176"/>
      <c r="N203" s="176"/>
      <c r="O203" s="176"/>
      <c r="P203" s="176"/>
      <c r="Q203" s="176"/>
      <c r="R203" s="176"/>
      <c r="S203" s="176"/>
      <c r="T203" s="176"/>
      <c r="U203" s="176"/>
      <c r="V203" s="176"/>
      <c r="W203" s="176"/>
      <c r="X203" s="176"/>
      <c r="Y203" s="176"/>
      <c r="Z203" s="176"/>
    </row>
    <row r="204" spans="1:26" ht="9.75" customHeight="1" x14ac:dyDescent="0.25">
      <c r="A204" s="176"/>
      <c r="B204" s="176"/>
      <c r="C204" s="176"/>
      <c r="D204" s="176"/>
      <c r="E204" s="176"/>
      <c r="F204" s="176"/>
      <c r="G204" s="176"/>
      <c r="H204" s="176"/>
      <c r="I204" s="176"/>
      <c r="J204" s="176"/>
      <c r="K204" s="176"/>
      <c r="L204" s="176"/>
      <c r="M204" s="176"/>
      <c r="N204" s="176"/>
      <c r="O204" s="176"/>
      <c r="P204" s="176"/>
      <c r="Q204" s="176"/>
      <c r="R204" s="176"/>
      <c r="S204" s="176"/>
      <c r="T204" s="176"/>
      <c r="U204" s="176"/>
      <c r="V204" s="176"/>
      <c r="W204" s="176"/>
      <c r="X204" s="176"/>
      <c r="Y204" s="176"/>
      <c r="Z204" s="176"/>
    </row>
    <row r="205" spans="1:26" ht="9.75" customHeight="1" x14ac:dyDescent="0.25">
      <c r="A205" s="176"/>
      <c r="B205" s="176"/>
      <c r="C205" s="176"/>
      <c r="D205" s="176"/>
      <c r="E205" s="176"/>
      <c r="F205" s="176"/>
      <c r="G205" s="176"/>
      <c r="H205" s="176"/>
      <c r="I205" s="176"/>
      <c r="J205" s="176"/>
      <c r="K205" s="176"/>
      <c r="L205" s="176"/>
      <c r="M205" s="176"/>
      <c r="N205" s="176"/>
      <c r="O205" s="176"/>
      <c r="P205" s="176"/>
      <c r="Q205" s="176"/>
      <c r="R205" s="176"/>
      <c r="S205" s="176"/>
      <c r="T205" s="176"/>
      <c r="U205" s="176"/>
      <c r="V205" s="176"/>
      <c r="W205" s="176"/>
      <c r="X205" s="176"/>
      <c r="Y205" s="176"/>
      <c r="Z205" s="176"/>
    </row>
    <row r="206" spans="1:26" ht="9.75" customHeight="1" x14ac:dyDescent="0.25">
      <c r="A206" s="176"/>
      <c r="B206" s="176"/>
      <c r="C206" s="176"/>
      <c r="D206" s="176"/>
      <c r="E206" s="176"/>
      <c r="F206" s="176"/>
      <c r="G206" s="176"/>
      <c r="H206" s="176"/>
      <c r="I206" s="176"/>
      <c r="J206" s="176"/>
      <c r="K206" s="176"/>
      <c r="L206" s="176"/>
      <c r="M206" s="176"/>
      <c r="N206" s="176"/>
      <c r="O206" s="176"/>
      <c r="P206" s="176"/>
      <c r="Q206" s="176"/>
      <c r="R206" s="176"/>
      <c r="S206" s="176"/>
      <c r="T206" s="176"/>
      <c r="U206" s="176"/>
      <c r="V206" s="176"/>
      <c r="W206" s="176"/>
      <c r="X206" s="176"/>
      <c r="Y206" s="176"/>
      <c r="Z206" s="176"/>
    </row>
    <row r="207" spans="1:26" ht="9.75" customHeight="1" x14ac:dyDescent="0.25">
      <c r="A207" s="176"/>
      <c r="B207" s="176"/>
      <c r="C207" s="176"/>
      <c r="D207" s="176"/>
      <c r="E207" s="176"/>
      <c r="F207" s="176"/>
      <c r="G207" s="176"/>
      <c r="H207" s="176"/>
      <c r="I207" s="176"/>
      <c r="J207" s="176"/>
      <c r="K207" s="176"/>
      <c r="L207" s="176"/>
      <c r="M207" s="176"/>
      <c r="N207" s="176"/>
      <c r="O207" s="176"/>
      <c r="P207" s="176"/>
      <c r="Q207" s="176"/>
      <c r="R207" s="176"/>
      <c r="S207" s="176"/>
      <c r="T207" s="176"/>
      <c r="U207" s="176"/>
      <c r="V207" s="176"/>
      <c r="W207" s="176"/>
      <c r="X207" s="176"/>
      <c r="Y207" s="176"/>
      <c r="Z207" s="176"/>
    </row>
    <row r="208" spans="1:26" ht="9.75" customHeight="1" x14ac:dyDescent="0.25">
      <c r="A208" s="176"/>
      <c r="B208" s="176"/>
      <c r="C208" s="176"/>
      <c r="D208" s="176"/>
      <c r="E208" s="176"/>
      <c r="F208" s="176"/>
      <c r="G208" s="176"/>
      <c r="H208" s="176"/>
      <c r="I208" s="176"/>
      <c r="J208" s="176"/>
      <c r="K208" s="176"/>
      <c r="L208" s="176"/>
      <c r="M208" s="176"/>
      <c r="N208" s="176"/>
      <c r="O208" s="176"/>
      <c r="P208" s="176"/>
      <c r="Q208" s="176"/>
      <c r="R208" s="176"/>
      <c r="S208" s="176"/>
      <c r="T208" s="176"/>
      <c r="U208" s="176"/>
      <c r="V208" s="176"/>
      <c r="W208" s="176"/>
      <c r="X208" s="176"/>
      <c r="Y208" s="176"/>
      <c r="Z208" s="176"/>
    </row>
    <row r="209" spans="1:26" ht="9.75" customHeight="1" x14ac:dyDescent="0.25">
      <c r="A209" s="176"/>
      <c r="B209" s="176"/>
      <c r="C209" s="176"/>
      <c r="D209" s="176"/>
      <c r="E209" s="176"/>
      <c r="F209" s="176"/>
      <c r="G209" s="176"/>
      <c r="H209" s="176"/>
      <c r="I209" s="176"/>
      <c r="J209" s="176"/>
      <c r="K209" s="176"/>
      <c r="L209" s="176"/>
      <c r="M209" s="176"/>
      <c r="N209" s="176"/>
      <c r="O209" s="176"/>
      <c r="P209" s="176"/>
      <c r="Q209" s="176"/>
      <c r="R209" s="176"/>
      <c r="S209" s="176"/>
      <c r="T209" s="176"/>
      <c r="U209" s="176"/>
      <c r="V209" s="176"/>
      <c r="W209" s="176"/>
      <c r="X209" s="176"/>
      <c r="Y209" s="176"/>
      <c r="Z209" s="176"/>
    </row>
    <row r="210" spans="1:26" ht="9.75" customHeight="1" x14ac:dyDescent="0.25">
      <c r="A210" s="176"/>
      <c r="B210" s="176"/>
      <c r="C210" s="176"/>
      <c r="D210" s="176"/>
      <c r="E210" s="176"/>
      <c r="F210" s="176"/>
      <c r="G210" s="176"/>
      <c r="H210" s="176"/>
      <c r="I210" s="176"/>
      <c r="J210" s="176"/>
      <c r="K210" s="176"/>
      <c r="L210" s="176"/>
      <c r="M210" s="176"/>
      <c r="N210" s="176"/>
      <c r="O210" s="176"/>
      <c r="P210" s="176"/>
      <c r="Q210" s="176"/>
      <c r="R210" s="176"/>
      <c r="S210" s="176"/>
      <c r="T210" s="176"/>
      <c r="U210" s="176"/>
      <c r="V210" s="176"/>
      <c r="W210" s="176"/>
      <c r="X210" s="176"/>
      <c r="Y210" s="176"/>
      <c r="Z210" s="176"/>
    </row>
    <row r="211" spans="1:26" ht="9.75" customHeight="1" x14ac:dyDescent="0.25">
      <c r="A211" s="176"/>
      <c r="B211" s="176"/>
      <c r="C211" s="176"/>
      <c r="D211" s="176"/>
      <c r="E211" s="176"/>
      <c r="F211" s="176"/>
      <c r="G211" s="176"/>
      <c r="H211" s="176"/>
      <c r="I211" s="176"/>
      <c r="J211" s="176"/>
      <c r="K211" s="176"/>
      <c r="L211" s="176"/>
      <c r="M211" s="176"/>
      <c r="N211" s="176"/>
      <c r="O211" s="176"/>
      <c r="P211" s="176"/>
      <c r="Q211" s="176"/>
      <c r="R211" s="176"/>
      <c r="S211" s="176"/>
      <c r="T211" s="176"/>
      <c r="U211" s="176"/>
      <c r="V211" s="176"/>
      <c r="W211" s="176"/>
      <c r="X211" s="176"/>
      <c r="Y211" s="176"/>
      <c r="Z211" s="176"/>
    </row>
    <row r="212" spans="1:26" ht="9.75" customHeight="1" x14ac:dyDescent="0.25">
      <c r="A212" s="176"/>
      <c r="B212" s="176"/>
      <c r="C212" s="176"/>
      <c r="D212" s="176"/>
      <c r="E212" s="176"/>
      <c r="F212" s="176"/>
      <c r="G212" s="176"/>
      <c r="H212" s="176"/>
      <c r="I212" s="176"/>
      <c r="J212" s="176"/>
      <c r="K212" s="176"/>
      <c r="L212" s="176"/>
      <c r="M212" s="176"/>
      <c r="N212" s="176"/>
      <c r="O212" s="176"/>
      <c r="P212" s="176"/>
      <c r="Q212" s="176"/>
      <c r="R212" s="176"/>
      <c r="S212" s="176"/>
      <c r="T212" s="176"/>
      <c r="U212" s="176"/>
      <c r="V212" s="176"/>
      <c r="W212" s="176"/>
      <c r="X212" s="176"/>
      <c r="Y212" s="176"/>
      <c r="Z212" s="176"/>
    </row>
    <row r="213" spans="1:26" ht="9.75" customHeight="1" x14ac:dyDescent="0.25">
      <c r="A213" s="176"/>
      <c r="B213" s="176"/>
      <c r="C213" s="176"/>
      <c r="D213" s="176"/>
      <c r="E213" s="176"/>
      <c r="F213" s="176"/>
      <c r="G213" s="176"/>
      <c r="H213" s="176"/>
      <c r="I213" s="176"/>
      <c r="J213" s="176"/>
      <c r="K213" s="176"/>
      <c r="L213" s="176"/>
      <c r="M213" s="176"/>
      <c r="N213" s="176"/>
      <c r="O213" s="176"/>
      <c r="P213" s="176"/>
      <c r="Q213" s="176"/>
      <c r="R213" s="176"/>
      <c r="S213" s="176"/>
      <c r="T213" s="176"/>
      <c r="U213" s="176"/>
      <c r="V213" s="176"/>
      <c r="W213" s="176"/>
      <c r="X213" s="176"/>
      <c r="Y213" s="176"/>
      <c r="Z213" s="176"/>
    </row>
    <row r="214" spans="1:26" ht="9.75" customHeight="1" x14ac:dyDescent="0.25">
      <c r="A214" s="176"/>
      <c r="B214" s="176"/>
      <c r="C214" s="176"/>
      <c r="D214" s="176"/>
      <c r="E214" s="176"/>
      <c r="F214" s="176"/>
      <c r="G214" s="176"/>
      <c r="H214" s="176"/>
      <c r="I214" s="176"/>
      <c r="J214" s="176"/>
      <c r="K214" s="176"/>
      <c r="L214" s="176"/>
      <c r="M214" s="176"/>
      <c r="N214" s="176"/>
      <c r="O214" s="176"/>
      <c r="P214" s="176"/>
      <c r="Q214" s="176"/>
      <c r="R214" s="176"/>
      <c r="S214" s="176"/>
      <c r="T214" s="176"/>
      <c r="U214" s="176"/>
      <c r="V214" s="176"/>
      <c r="W214" s="176"/>
      <c r="X214" s="176"/>
      <c r="Y214" s="176"/>
      <c r="Z214" s="176"/>
    </row>
    <row r="215" spans="1:26" ht="9.75" customHeight="1" x14ac:dyDescent="0.25">
      <c r="A215" s="176"/>
      <c r="B215" s="176"/>
      <c r="C215" s="176"/>
      <c r="D215" s="176"/>
      <c r="E215" s="176"/>
      <c r="F215" s="176"/>
      <c r="G215" s="176"/>
      <c r="H215" s="176"/>
      <c r="I215" s="176"/>
      <c r="J215" s="176"/>
      <c r="K215" s="176"/>
      <c r="L215" s="176"/>
      <c r="M215" s="176"/>
      <c r="N215" s="176"/>
      <c r="O215" s="176"/>
      <c r="P215" s="176"/>
      <c r="Q215" s="176"/>
      <c r="R215" s="176"/>
      <c r="S215" s="176"/>
      <c r="T215" s="176"/>
      <c r="U215" s="176"/>
      <c r="V215" s="176"/>
      <c r="W215" s="176"/>
      <c r="X215" s="176"/>
      <c r="Y215" s="176"/>
      <c r="Z215" s="176"/>
    </row>
    <row r="216" spans="1:26" ht="9.75" customHeight="1" x14ac:dyDescent="0.25">
      <c r="A216" s="176"/>
      <c r="B216" s="176"/>
      <c r="C216" s="176"/>
      <c r="D216" s="176"/>
      <c r="E216" s="176"/>
      <c r="F216" s="176"/>
      <c r="G216" s="176"/>
      <c r="H216" s="176"/>
      <c r="I216" s="176"/>
      <c r="J216" s="176"/>
      <c r="K216" s="176"/>
      <c r="L216" s="176"/>
      <c r="M216" s="176"/>
      <c r="N216" s="176"/>
      <c r="O216" s="176"/>
      <c r="P216" s="176"/>
      <c r="Q216" s="176"/>
      <c r="R216" s="176"/>
      <c r="S216" s="176"/>
      <c r="T216" s="176"/>
      <c r="U216" s="176"/>
      <c r="V216" s="176"/>
      <c r="W216" s="176"/>
      <c r="X216" s="176"/>
      <c r="Y216" s="176"/>
      <c r="Z216" s="176"/>
    </row>
    <row r="217" spans="1:26" ht="9.75" customHeight="1" x14ac:dyDescent="0.25">
      <c r="A217" s="176"/>
      <c r="B217" s="176"/>
      <c r="C217" s="176"/>
      <c r="D217" s="176"/>
      <c r="E217" s="176"/>
      <c r="F217" s="176"/>
      <c r="G217" s="176"/>
      <c r="H217" s="176"/>
      <c r="I217" s="176"/>
      <c r="J217" s="176"/>
      <c r="K217" s="176"/>
      <c r="L217" s="176"/>
      <c r="M217" s="176"/>
      <c r="N217" s="176"/>
      <c r="O217" s="176"/>
      <c r="P217" s="176"/>
      <c r="Q217" s="176"/>
      <c r="R217" s="176"/>
      <c r="S217" s="176"/>
      <c r="T217" s="176"/>
      <c r="U217" s="176"/>
      <c r="V217" s="176"/>
      <c r="W217" s="176"/>
      <c r="X217" s="176"/>
      <c r="Y217" s="176"/>
      <c r="Z217" s="176"/>
    </row>
    <row r="218" spans="1:26" ht="9.75" customHeight="1" x14ac:dyDescent="0.25">
      <c r="A218" s="176"/>
      <c r="B218" s="176"/>
      <c r="C218" s="176"/>
      <c r="D218" s="176"/>
      <c r="E218" s="176"/>
      <c r="F218" s="176"/>
      <c r="G218" s="176"/>
      <c r="H218" s="176"/>
      <c r="I218" s="176"/>
      <c r="J218" s="176"/>
      <c r="K218" s="176"/>
      <c r="L218" s="176"/>
      <c r="M218" s="176"/>
      <c r="N218" s="176"/>
      <c r="O218" s="176"/>
      <c r="P218" s="176"/>
      <c r="Q218" s="176"/>
      <c r="R218" s="176"/>
      <c r="S218" s="176"/>
      <c r="T218" s="176"/>
      <c r="U218" s="176"/>
      <c r="V218" s="176"/>
      <c r="W218" s="176"/>
      <c r="X218" s="176"/>
      <c r="Y218" s="176"/>
      <c r="Z218" s="176"/>
    </row>
    <row r="219" spans="1:26" ht="9.75" customHeight="1" x14ac:dyDescent="0.25">
      <c r="A219" s="176"/>
      <c r="B219" s="176"/>
      <c r="C219" s="176"/>
      <c r="D219" s="176"/>
      <c r="E219" s="176"/>
      <c r="F219" s="176"/>
      <c r="G219" s="176"/>
      <c r="H219" s="176"/>
      <c r="I219" s="176"/>
      <c r="J219" s="176"/>
      <c r="K219" s="176"/>
      <c r="L219" s="176"/>
      <c r="M219" s="176"/>
      <c r="N219" s="176"/>
      <c r="O219" s="176"/>
      <c r="P219" s="176"/>
      <c r="Q219" s="176"/>
      <c r="R219" s="176"/>
      <c r="S219" s="176"/>
      <c r="T219" s="176"/>
      <c r="U219" s="176"/>
      <c r="V219" s="176"/>
      <c r="W219" s="176"/>
      <c r="X219" s="176"/>
      <c r="Y219" s="176"/>
      <c r="Z219" s="176"/>
    </row>
    <row r="220" spans="1:26" ht="9.75" customHeight="1" x14ac:dyDescent="0.25">
      <c r="A220" s="176"/>
      <c r="B220" s="176"/>
      <c r="C220" s="176"/>
      <c r="D220" s="176"/>
      <c r="E220" s="176"/>
      <c r="F220" s="176"/>
      <c r="G220" s="176"/>
      <c r="H220" s="176"/>
      <c r="I220" s="176"/>
      <c r="J220" s="176"/>
      <c r="K220" s="176"/>
      <c r="L220" s="176"/>
      <c r="M220" s="176"/>
      <c r="N220" s="176"/>
      <c r="O220" s="176"/>
      <c r="P220" s="176"/>
      <c r="Q220" s="176"/>
      <c r="R220" s="176"/>
      <c r="S220" s="176"/>
      <c r="T220" s="176"/>
      <c r="U220" s="176"/>
      <c r="V220" s="176"/>
      <c r="W220" s="176"/>
      <c r="X220" s="176"/>
      <c r="Y220" s="176"/>
      <c r="Z220" s="176"/>
    </row>
    <row r="221" spans="1:26" ht="9.75" customHeight="1" x14ac:dyDescent="0.25">
      <c r="A221" s="176"/>
      <c r="B221" s="176"/>
      <c r="C221" s="176"/>
      <c r="D221" s="176"/>
      <c r="E221" s="176"/>
      <c r="F221" s="176"/>
      <c r="G221" s="176"/>
      <c r="H221" s="176"/>
      <c r="I221" s="176"/>
      <c r="J221" s="176"/>
      <c r="K221" s="176"/>
      <c r="L221" s="176"/>
      <c r="M221" s="176"/>
      <c r="N221" s="176"/>
      <c r="O221" s="176"/>
      <c r="P221" s="176"/>
      <c r="Q221" s="176"/>
      <c r="R221" s="176"/>
      <c r="S221" s="176"/>
      <c r="T221" s="176"/>
      <c r="U221" s="176"/>
      <c r="V221" s="176"/>
      <c r="W221" s="176"/>
      <c r="X221" s="176"/>
      <c r="Y221" s="176"/>
      <c r="Z221" s="176"/>
    </row>
    <row r="222" spans="1:26" ht="9.75" customHeight="1" x14ac:dyDescent="0.25">
      <c r="A222" s="176"/>
      <c r="B222" s="176"/>
      <c r="C222" s="176"/>
      <c r="D222" s="176"/>
      <c r="E222" s="176"/>
      <c r="F222" s="176"/>
      <c r="G222" s="176"/>
      <c r="H222" s="176"/>
      <c r="I222" s="176"/>
      <c r="J222" s="176"/>
      <c r="K222" s="176"/>
      <c r="L222" s="176"/>
      <c r="M222" s="176"/>
      <c r="N222" s="176"/>
      <c r="O222" s="176"/>
      <c r="P222" s="176"/>
      <c r="Q222" s="176"/>
      <c r="R222" s="176"/>
      <c r="S222" s="176"/>
      <c r="T222" s="176"/>
      <c r="U222" s="176"/>
      <c r="V222" s="176"/>
      <c r="W222" s="176"/>
      <c r="X222" s="176"/>
      <c r="Y222" s="176"/>
      <c r="Z222" s="176"/>
    </row>
    <row r="223" spans="1:26" ht="9.75" customHeight="1" x14ac:dyDescent="0.25">
      <c r="A223" s="176"/>
      <c r="B223" s="176"/>
      <c r="C223" s="176"/>
      <c r="D223" s="176"/>
      <c r="E223" s="176"/>
      <c r="F223" s="176"/>
      <c r="G223" s="176"/>
      <c r="H223" s="176"/>
      <c r="I223" s="176"/>
      <c r="J223" s="176"/>
      <c r="K223" s="176"/>
      <c r="L223" s="176"/>
      <c r="M223" s="176"/>
      <c r="N223" s="176"/>
      <c r="O223" s="176"/>
      <c r="P223" s="176"/>
      <c r="Q223" s="176"/>
      <c r="R223" s="176"/>
      <c r="S223" s="176"/>
      <c r="T223" s="176"/>
      <c r="U223" s="176"/>
      <c r="V223" s="176"/>
      <c r="W223" s="176"/>
      <c r="X223" s="176"/>
      <c r="Y223" s="176"/>
      <c r="Z223" s="176"/>
    </row>
    <row r="224" spans="1:26" ht="9.75" customHeight="1" x14ac:dyDescent="0.25">
      <c r="A224" s="176"/>
      <c r="B224" s="176"/>
      <c r="C224" s="176"/>
      <c r="D224" s="176"/>
      <c r="E224" s="176"/>
      <c r="F224" s="176"/>
      <c r="G224" s="176"/>
      <c r="H224" s="176"/>
      <c r="I224" s="176"/>
      <c r="J224" s="176"/>
      <c r="K224" s="176"/>
      <c r="L224" s="176"/>
      <c r="M224" s="176"/>
      <c r="N224" s="176"/>
      <c r="O224" s="176"/>
      <c r="P224" s="176"/>
      <c r="Q224" s="176"/>
      <c r="R224" s="176"/>
      <c r="S224" s="176"/>
      <c r="T224" s="176"/>
      <c r="U224" s="176"/>
      <c r="V224" s="176"/>
      <c r="W224" s="176"/>
      <c r="X224" s="176"/>
      <c r="Y224" s="176"/>
      <c r="Z224" s="176"/>
    </row>
    <row r="225" spans="1:26" ht="9.75" customHeight="1" x14ac:dyDescent="0.25">
      <c r="A225" s="176"/>
      <c r="B225" s="176"/>
      <c r="C225" s="176"/>
      <c r="D225" s="176"/>
      <c r="E225" s="176"/>
      <c r="F225" s="176"/>
      <c r="G225" s="176"/>
      <c r="H225" s="176"/>
      <c r="I225" s="176"/>
      <c r="J225" s="176"/>
      <c r="K225" s="176"/>
      <c r="L225" s="176"/>
      <c r="M225" s="176"/>
      <c r="N225" s="176"/>
      <c r="O225" s="176"/>
      <c r="P225" s="176"/>
      <c r="Q225" s="176"/>
      <c r="R225" s="176"/>
      <c r="S225" s="176"/>
      <c r="T225" s="176"/>
      <c r="U225" s="176"/>
      <c r="V225" s="176"/>
      <c r="W225" s="176"/>
      <c r="X225" s="176"/>
      <c r="Y225" s="176"/>
      <c r="Z225" s="176"/>
    </row>
    <row r="226" spans="1:26" ht="9.75" customHeight="1" x14ac:dyDescent="0.25">
      <c r="A226" s="176"/>
      <c r="B226" s="176"/>
      <c r="C226" s="176"/>
      <c r="D226" s="176"/>
      <c r="E226" s="176"/>
      <c r="F226" s="176"/>
      <c r="G226" s="176"/>
      <c r="H226" s="176"/>
      <c r="I226" s="176"/>
      <c r="J226" s="176"/>
      <c r="K226" s="176"/>
      <c r="L226" s="176"/>
      <c r="M226" s="176"/>
      <c r="N226" s="176"/>
      <c r="O226" s="176"/>
      <c r="P226" s="176"/>
      <c r="Q226" s="176"/>
      <c r="R226" s="176"/>
      <c r="S226" s="176"/>
      <c r="T226" s="176"/>
      <c r="U226" s="176"/>
      <c r="V226" s="176"/>
      <c r="W226" s="176"/>
      <c r="X226" s="176"/>
      <c r="Y226" s="176"/>
      <c r="Z226" s="176"/>
    </row>
    <row r="227" spans="1:26" ht="9.75" customHeight="1" x14ac:dyDescent="0.25">
      <c r="A227" s="176"/>
      <c r="B227" s="176"/>
      <c r="C227" s="176"/>
      <c r="D227" s="176"/>
      <c r="E227" s="176"/>
      <c r="F227" s="176"/>
      <c r="G227" s="176"/>
      <c r="H227" s="176"/>
      <c r="I227" s="176"/>
      <c r="J227" s="176"/>
      <c r="K227" s="176"/>
      <c r="L227" s="176"/>
      <c r="M227" s="176"/>
      <c r="N227" s="176"/>
      <c r="O227" s="176"/>
      <c r="P227" s="176"/>
      <c r="Q227" s="176"/>
      <c r="R227" s="176"/>
      <c r="S227" s="176"/>
      <c r="T227" s="176"/>
      <c r="U227" s="176"/>
      <c r="V227" s="176"/>
      <c r="W227" s="176"/>
      <c r="X227" s="176"/>
      <c r="Y227" s="176"/>
      <c r="Z227" s="176"/>
    </row>
    <row r="228" spans="1:26" ht="9.75" customHeight="1" x14ac:dyDescent="0.25">
      <c r="A228" s="176"/>
      <c r="B228" s="176"/>
      <c r="C228" s="176"/>
      <c r="D228" s="176"/>
      <c r="E228" s="176"/>
      <c r="F228" s="176"/>
      <c r="G228" s="176"/>
      <c r="H228" s="176"/>
      <c r="I228" s="176"/>
      <c r="J228" s="176"/>
      <c r="K228" s="176"/>
      <c r="L228" s="176"/>
      <c r="M228" s="176"/>
      <c r="N228" s="176"/>
      <c r="O228" s="176"/>
      <c r="P228" s="176"/>
      <c r="Q228" s="176"/>
      <c r="R228" s="176"/>
      <c r="S228" s="176"/>
      <c r="T228" s="176"/>
      <c r="U228" s="176"/>
      <c r="V228" s="176"/>
      <c r="W228" s="176"/>
      <c r="X228" s="176"/>
      <c r="Y228" s="176"/>
      <c r="Z228" s="176"/>
    </row>
    <row r="229" spans="1:26" ht="9.75" customHeight="1" x14ac:dyDescent="0.25">
      <c r="A229" s="176"/>
      <c r="B229" s="176"/>
      <c r="C229" s="176"/>
      <c r="D229" s="176"/>
      <c r="E229" s="176"/>
      <c r="F229" s="176"/>
      <c r="G229" s="176"/>
      <c r="H229" s="176"/>
      <c r="I229" s="176"/>
      <c r="J229" s="176"/>
      <c r="K229" s="176"/>
      <c r="L229" s="176"/>
      <c r="M229" s="176"/>
      <c r="N229" s="176"/>
      <c r="O229" s="176"/>
      <c r="P229" s="176"/>
      <c r="Q229" s="176"/>
      <c r="R229" s="176"/>
      <c r="S229" s="176"/>
      <c r="T229" s="176"/>
      <c r="U229" s="176"/>
      <c r="V229" s="176"/>
      <c r="W229" s="176"/>
      <c r="X229" s="176"/>
      <c r="Y229" s="176"/>
      <c r="Z229" s="176"/>
    </row>
    <row r="230" spans="1:26" ht="9.75" customHeight="1" x14ac:dyDescent="0.25">
      <c r="A230" s="176"/>
      <c r="B230" s="176"/>
      <c r="C230" s="176"/>
      <c r="D230" s="176"/>
      <c r="E230" s="176"/>
      <c r="F230" s="176"/>
      <c r="G230" s="176"/>
      <c r="H230" s="176"/>
      <c r="I230" s="176"/>
      <c r="J230" s="176"/>
      <c r="K230" s="176"/>
      <c r="L230" s="176"/>
      <c r="M230" s="176"/>
      <c r="N230" s="176"/>
      <c r="O230" s="176"/>
      <c r="P230" s="176"/>
      <c r="Q230" s="176"/>
      <c r="R230" s="176"/>
      <c r="S230" s="176"/>
      <c r="T230" s="176"/>
      <c r="U230" s="176"/>
      <c r="V230" s="176"/>
      <c r="W230" s="176"/>
      <c r="X230" s="176"/>
      <c r="Y230" s="176"/>
      <c r="Z230" s="176"/>
    </row>
    <row r="231" spans="1:26" ht="9.75" customHeight="1" x14ac:dyDescent="0.25">
      <c r="A231" s="176"/>
      <c r="B231" s="176"/>
      <c r="C231" s="176"/>
      <c r="D231" s="176"/>
      <c r="E231" s="176"/>
      <c r="F231" s="176"/>
      <c r="G231" s="176"/>
      <c r="H231" s="176"/>
      <c r="I231" s="176"/>
      <c r="J231" s="176"/>
      <c r="K231" s="176"/>
      <c r="L231" s="176"/>
      <c r="M231" s="176"/>
      <c r="N231" s="176"/>
      <c r="O231" s="176"/>
      <c r="P231" s="176"/>
      <c r="Q231" s="176"/>
      <c r="R231" s="176"/>
      <c r="S231" s="176"/>
      <c r="T231" s="176"/>
      <c r="U231" s="176"/>
      <c r="V231" s="176"/>
      <c r="W231" s="176"/>
      <c r="X231" s="176"/>
      <c r="Y231" s="176"/>
      <c r="Z231" s="176"/>
    </row>
    <row r="232" spans="1:26" ht="9.75" customHeight="1" x14ac:dyDescent="0.25">
      <c r="A232" s="176"/>
      <c r="B232" s="176"/>
      <c r="C232" s="176"/>
      <c r="D232" s="176"/>
      <c r="E232" s="176"/>
      <c r="F232" s="176"/>
      <c r="G232" s="176"/>
      <c r="H232" s="176"/>
      <c r="I232" s="176"/>
      <c r="J232" s="176"/>
      <c r="K232" s="176"/>
      <c r="L232" s="176"/>
      <c r="M232" s="176"/>
      <c r="N232" s="176"/>
      <c r="O232" s="176"/>
      <c r="P232" s="176"/>
      <c r="Q232" s="176"/>
      <c r="R232" s="176"/>
      <c r="S232" s="176"/>
      <c r="T232" s="176"/>
      <c r="U232" s="176"/>
      <c r="V232" s="176"/>
      <c r="W232" s="176"/>
      <c r="X232" s="176"/>
      <c r="Y232" s="176"/>
      <c r="Z232" s="176"/>
    </row>
    <row r="233" spans="1:26" ht="9.75" customHeight="1" x14ac:dyDescent="0.25">
      <c r="A233" s="176"/>
      <c r="B233" s="176"/>
      <c r="C233" s="176"/>
      <c r="D233" s="176"/>
      <c r="E233" s="176"/>
      <c r="F233" s="176"/>
      <c r="G233" s="176"/>
      <c r="H233" s="176"/>
      <c r="I233" s="176"/>
      <c r="J233" s="176"/>
      <c r="K233" s="176"/>
      <c r="L233" s="176"/>
      <c r="M233" s="176"/>
      <c r="N233" s="176"/>
      <c r="O233" s="176"/>
      <c r="P233" s="176"/>
      <c r="Q233" s="176"/>
      <c r="R233" s="176"/>
      <c r="S233" s="176"/>
      <c r="T233" s="176"/>
      <c r="U233" s="176"/>
      <c r="V233" s="176"/>
      <c r="W233" s="176"/>
      <c r="X233" s="176"/>
      <c r="Y233" s="176"/>
      <c r="Z233" s="176"/>
    </row>
    <row r="234" spans="1:26" ht="9.75" customHeight="1" x14ac:dyDescent="0.25">
      <c r="A234" s="176"/>
      <c r="B234" s="176"/>
      <c r="C234" s="176"/>
      <c r="D234" s="176"/>
      <c r="E234" s="176"/>
      <c r="F234" s="176"/>
      <c r="G234" s="176"/>
      <c r="H234" s="176"/>
      <c r="I234" s="176"/>
      <c r="J234" s="176"/>
      <c r="K234" s="176"/>
      <c r="L234" s="176"/>
      <c r="M234" s="176"/>
      <c r="N234" s="176"/>
      <c r="O234" s="176"/>
      <c r="P234" s="176"/>
      <c r="Q234" s="176"/>
      <c r="R234" s="176"/>
      <c r="S234" s="176"/>
      <c r="T234" s="176"/>
      <c r="U234" s="176"/>
      <c r="V234" s="176"/>
      <c r="W234" s="176"/>
      <c r="X234" s="176"/>
      <c r="Y234" s="176"/>
      <c r="Z234" s="176"/>
    </row>
    <row r="235" spans="1:26" ht="9.75" customHeight="1" x14ac:dyDescent="0.25">
      <c r="A235" s="176"/>
      <c r="B235" s="176"/>
      <c r="C235" s="176"/>
      <c r="D235" s="176"/>
      <c r="E235" s="176"/>
      <c r="F235" s="176"/>
      <c r="G235" s="176"/>
      <c r="H235" s="176"/>
      <c r="I235" s="176"/>
      <c r="J235" s="176"/>
      <c r="K235" s="176"/>
      <c r="L235" s="176"/>
      <c r="M235" s="176"/>
      <c r="N235" s="176"/>
      <c r="O235" s="176"/>
      <c r="P235" s="176"/>
      <c r="Q235" s="176"/>
      <c r="R235" s="176"/>
      <c r="S235" s="176"/>
      <c r="T235" s="176"/>
      <c r="U235" s="176"/>
      <c r="V235" s="176"/>
      <c r="W235" s="176"/>
      <c r="X235" s="176"/>
      <c r="Y235" s="176"/>
      <c r="Z235" s="176"/>
    </row>
    <row r="236" spans="1:26" ht="9.75" customHeight="1" x14ac:dyDescent="0.25">
      <c r="A236" s="176"/>
      <c r="B236" s="176"/>
      <c r="C236" s="176"/>
      <c r="D236" s="176"/>
      <c r="E236" s="176"/>
      <c r="F236" s="176"/>
      <c r="G236" s="176"/>
      <c r="H236" s="176"/>
      <c r="I236" s="176"/>
      <c r="J236" s="176"/>
      <c r="K236" s="176"/>
      <c r="L236" s="176"/>
      <c r="M236" s="176"/>
      <c r="N236" s="176"/>
      <c r="O236" s="176"/>
      <c r="P236" s="176"/>
      <c r="Q236" s="176"/>
      <c r="R236" s="176"/>
      <c r="S236" s="176"/>
      <c r="T236" s="176"/>
      <c r="U236" s="176"/>
      <c r="V236" s="176"/>
      <c r="W236" s="176"/>
      <c r="X236" s="176"/>
      <c r="Y236" s="176"/>
      <c r="Z236" s="176"/>
    </row>
    <row r="237" spans="1:26" ht="9.75" customHeight="1" x14ac:dyDescent="0.25">
      <c r="A237" s="176"/>
      <c r="B237" s="176"/>
      <c r="C237" s="176"/>
      <c r="D237" s="176"/>
      <c r="E237" s="176"/>
      <c r="F237" s="176"/>
      <c r="G237" s="176"/>
      <c r="H237" s="176"/>
      <c r="I237" s="176"/>
      <c r="J237" s="176"/>
      <c r="K237" s="176"/>
      <c r="L237" s="176"/>
      <c r="M237" s="176"/>
      <c r="N237" s="176"/>
      <c r="O237" s="176"/>
      <c r="P237" s="176"/>
      <c r="Q237" s="176"/>
      <c r="R237" s="176"/>
      <c r="S237" s="176"/>
      <c r="T237" s="176"/>
      <c r="U237" s="176"/>
      <c r="V237" s="176"/>
      <c r="W237" s="176"/>
      <c r="X237" s="176"/>
      <c r="Y237" s="176"/>
      <c r="Z237" s="176"/>
    </row>
    <row r="238" spans="1:26" ht="9.75" customHeight="1" x14ac:dyDescent="0.25">
      <c r="A238" s="176"/>
      <c r="B238" s="176"/>
      <c r="C238" s="176"/>
      <c r="D238" s="176"/>
      <c r="E238" s="176"/>
      <c r="F238" s="176"/>
      <c r="G238" s="176"/>
      <c r="H238" s="176"/>
      <c r="I238" s="176"/>
      <c r="J238" s="176"/>
      <c r="K238" s="176"/>
      <c r="L238" s="176"/>
      <c r="M238" s="176"/>
      <c r="N238" s="176"/>
      <c r="O238" s="176"/>
      <c r="P238" s="176"/>
      <c r="Q238" s="176"/>
      <c r="R238" s="176"/>
      <c r="S238" s="176"/>
      <c r="T238" s="176"/>
      <c r="U238" s="176"/>
      <c r="V238" s="176"/>
      <c r="W238" s="176"/>
      <c r="X238" s="176"/>
      <c r="Y238" s="176"/>
      <c r="Z238" s="176"/>
    </row>
    <row r="239" spans="1:26" ht="9.75" customHeight="1" x14ac:dyDescent="0.25">
      <c r="A239" s="176"/>
      <c r="B239" s="176"/>
      <c r="C239" s="176"/>
      <c r="D239" s="176"/>
      <c r="E239" s="176"/>
      <c r="F239" s="176"/>
      <c r="G239" s="176"/>
      <c r="H239" s="176"/>
      <c r="I239" s="176"/>
      <c r="J239" s="176"/>
      <c r="K239" s="176"/>
      <c r="L239" s="176"/>
      <c r="M239" s="176"/>
      <c r="N239" s="176"/>
      <c r="O239" s="176"/>
      <c r="P239" s="176"/>
      <c r="Q239" s="176"/>
      <c r="R239" s="176"/>
      <c r="S239" s="176"/>
      <c r="T239" s="176"/>
      <c r="U239" s="176"/>
      <c r="V239" s="176"/>
      <c r="W239" s="176"/>
      <c r="X239" s="176"/>
      <c r="Y239" s="176"/>
      <c r="Z239" s="176"/>
    </row>
    <row r="240" spans="1:26" ht="9.75" customHeight="1" x14ac:dyDescent="0.25">
      <c r="A240" s="176"/>
      <c r="B240" s="176"/>
      <c r="C240" s="176"/>
      <c r="D240" s="176"/>
      <c r="E240" s="176"/>
      <c r="F240" s="176"/>
      <c r="G240" s="176"/>
      <c r="H240" s="176"/>
      <c r="I240" s="176"/>
      <c r="J240" s="176"/>
      <c r="K240" s="176"/>
      <c r="L240" s="176"/>
      <c r="M240" s="176"/>
      <c r="N240" s="176"/>
      <c r="O240" s="176"/>
      <c r="P240" s="176"/>
      <c r="Q240" s="176"/>
      <c r="R240" s="176"/>
      <c r="S240" s="176"/>
      <c r="T240" s="176"/>
      <c r="U240" s="176"/>
      <c r="V240" s="176"/>
      <c r="W240" s="176"/>
      <c r="X240" s="176"/>
      <c r="Y240" s="176"/>
      <c r="Z240" s="176"/>
    </row>
    <row r="241" spans="1:26" ht="9.75" customHeight="1" x14ac:dyDescent="0.25">
      <c r="A241" s="176"/>
      <c r="B241" s="176"/>
      <c r="C241" s="176"/>
      <c r="D241" s="176"/>
      <c r="E241" s="176"/>
      <c r="F241" s="176"/>
      <c r="G241" s="176"/>
      <c r="H241" s="176"/>
      <c r="I241" s="176"/>
      <c r="J241" s="176"/>
      <c r="K241" s="176"/>
      <c r="L241" s="176"/>
      <c r="M241" s="176"/>
      <c r="N241" s="176"/>
      <c r="O241" s="176"/>
      <c r="P241" s="176"/>
      <c r="Q241" s="176"/>
      <c r="R241" s="176"/>
      <c r="S241" s="176"/>
      <c r="T241" s="176"/>
      <c r="U241" s="176"/>
      <c r="V241" s="176"/>
      <c r="W241" s="176"/>
      <c r="X241" s="176"/>
      <c r="Y241" s="176"/>
      <c r="Z241" s="176"/>
    </row>
    <row r="242" spans="1:26" ht="9.75" customHeight="1" x14ac:dyDescent="0.25">
      <c r="A242" s="176"/>
      <c r="B242" s="176"/>
      <c r="C242" s="176"/>
      <c r="D242" s="176"/>
      <c r="E242" s="176"/>
      <c r="F242" s="176"/>
      <c r="G242" s="176"/>
      <c r="H242" s="176"/>
      <c r="I242" s="176"/>
      <c r="J242" s="176"/>
      <c r="K242" s="176"/>
      <c r="L242" s="176"/>
      <c r="M242" s="176"/>
      <c r="N242" s="176"/>
      <c r="O242" s="176"/>
      <c r="P242" s="176"/>
      <c r="Q242" s="176"/>
      <c r="R242" s="176"/>
      <c r="S242" s="176"/>
      <c r="T242" s="176"/>
      <c r="U242" s="176"/>
      <c r="V242" s="176"/>
      <c r="W242" s="176"/>
      <c r="X242" s="176"/>
      <c r="Y242" s="176"/>
      <c r="Z242" s="176"/>
    </row>
    <row r="243" spans="1:26" ht="9.75" customHeight="1" x14ac:dyDescent="0.25">
      <c r="A243" s="176"/>
      <c r="B243" s="176"/>
      <c r="C243" s="176"/>
      <c r="D243" s="176"/>
      <c r="E243" s="176"/>
      <c r="F243" s="176"/>
      <c r="G243" s="176"/>
      <c r="H243" s="176"/>
      <c r="I243" s="176"/>
      <c r="J243" s="176"/>
      <c r="K243" s="176"/>
      <c r="L243" s="176"/>
      <c r="M243" s="176"/>
      <c r="N243" s="176"/>
      <c r="O243" s="176"/>
      <c r="P243" s="176"/>
      <c r="Q243" s="176"/>
      <c r="R243" s="176"/>
      <c r="S243" s="176"/>
      <c r="T243" s="176"/>
      <c r="U243" s="176"/>
      <c r="V243" s="176"/>
      <c r="W243" s="176"/>
      <c r="X243" s="176"/>
      <c r="Y243" s="176"/>
      <c r="Z243" s="176"/>
    </row>
    <row r="244" spans="1:26" ht="9.75" customHeight="1" x14ac:dyDescent="0.25">
      <c r="A244" s="176"/>
      <c r="B244" s="176"/>
      <c r="C244" s="176"/>
      <c r="D244" s="176"/>
      <c r="E244" s="176"/>
      <c r="F244" s="176"/>
      <c r="G244" s="176"/>
      <c r="H244" s="176"/>
      <c r="I244" s="176"/>
      <c r="J244" s="176"/>
      <c r="K244" s="176"/>
      <c r="L244" s="176"/>
      <c r="M244" s="176"/>
      <c r="N244" s="176"/>
      <c r="O244" s="176"/>
      <c r="P244" s="176"/>
      <c r="Q244" s="176"/>
      <c r="R244" s="176"/>
      <c r="S244" s="176"/>
      <c r="T244" s="176"/>
      <c r="U244" s="176"/>
      <c r="V244" s="176"/>
      <c r="W244" s="176"/>
      <c r="X244" s="176"/>
      <c r="Y244" s="176"/>
      <c r="Z244" s="176"/>
    </row>
    <row r="245" spans="1:26" ht="9.75" customHeight="1" x14ac:dyDescent="0.25">
      <c r="A245" s="176"/>
      <c r="B245" s="176"/>
      <c r="C245" s="176"/>
      <c r="D245" s="176"/>
      <c r="E245" s="176"/>
      <c r="F245" s="176"/>
      <c r="G245" s="176"/>
      <c r="H245" s="176"/>
      <c r="I245" s="176"/>
      <c r="J245" s="176"/>
      <c r="K245" s="176"/>
      <c r="L245" s="176"/>
      <c r="M245" s="176"/>
      <c r="N245" s="176"/>
      <c r="O245" s="176"/>
      <c r="P245" s="176"/>
      <c r="Q245" s="176"/>
      <c r="R245" s="176"/>
      <c r="S245" s="176"/>
      <c r="T245" s="176"/>
      <c r="U245" s="176"/>
      <c r="V245" s="176"/>
      <c r="W245" s="176"/>
      <c r="X245" s="176"/>
      <c r="Y245" s="176"/>
      <c r="Z245" s="176"/>
    </row>
    <row r="246" spans="1:26" ht="9.75" customHeight="1" x14ac:dyDescent="0.25">
      <c r="A246" s="176"/>
      <c r="B246" s="176"/>
      <c r="C246" s="176"/>
      <c r="D246" s="176"/>
      <c r="E246" s="176"/>
      <c r="F246" s="176"/>
      <c r="G246" s="176"/>
      <c r="H246" s="176"/>
      <c r="I246" s="176"/>
      <c r="J246" s="176"/>
      <c r="K246" s="176"/>
      <c r="L246" s="176"/>
      <c r="M246" s="176"/>
      <c r="N246" s="176"/>
      <c r="O246" s="176"/>
      <c r="P246" s="176"/>
      <c r="Q246" s="176"/>
      <c r="R246" s="176"/>
      <c r="S246" s="176"/>
      <c r="T246" s="176"/>
      <c r="U246" s="176"/>
      <c r="V246" s="176"/>
      <c r="W246" s="176"/>
      <c r="X246" s="176"/>
      <c r="Y246" s="176"/>
      <c r="Z246" s="176"/>
    </row>
    <row r="247" spans="1:26" ht="9.75" customHeight="1" x14ac:dyDescent="0.25">
      <c r="A247" s="176"/>
      <c r="B247" s="176"/>
      <c r="C247" s="176"/>
      <c r="D247" s="176"/>
      <c r="E247" s="176"/>
      <c r="F247" s="176"/>
      <c r="G247" s="176"/>
      <c r="H247" s="176"/>
      <c r="I247" s="176"/>
      <c r="J247" s="176"/>
      <c r="K247" s="176"/>
      <c r="L247" s="176"/>
      <c r="M247" s="176"/>
      <c r="N247" s="176"/>
      <c r="O247" s="176"/>
      <c r="P247" s="176"/>
      <c r="Q247" s="176"/>
      <c r="R247" s="176"/>
      <c r="S247" s="176"/>
      <c r="T247" s="176"/>
      <c r="U247" s="176"/>
      <c r="V247" s="176"/>
      <c r="W247" s="176"/>
      <c r="X247" s="176"/>
      <c r="Y247" s="176"/>
      <c r="Z247" s="176"/>
    </row>
    <row r="248" spans="1:26" ht="9.75" customHeight="1" x14ac:dyDescent="0.25">
      <c r="A248" s="176"/>
      <c r="B248" s="176"/>
      <c r="C248" s="176"/>
      <c r="D248" s="176"/>
      <c r="E248" s="176"/>
      <c r="F248" s="176"/>
      <c r="G248" s="176"/>
      <c r="H248" s="176"/>
      <c r="I248" s="176"/>
      <c r="J248" s="176"/>
      <c r="K248" s="176"/>
      <c r="L248" s="176"/>
      <c r="M248" s="176"/>
      <c r="N248" s="176"/>
      <c r="O248" s="176"/>
      <c r="P248" s="176"/>
      <c r="Q248" s="176"/>
      <c r="R248" s="176"/>
      <c r="S248" s="176"/>
      <c r="T248" s="176"/>
      <c r="U248" s="176"/>
      <c r="V248" s="176"/>
      <c r="W248" s="176"/>
      <c r="X248" s="176"/>
      <c r="Y248" s="176"/>
      <c r="Z248" s="176"/>
    </row>
    <row r="249" spans="1:26" ht="9.75" customHeight="1" x14ac:dyDescent="0.25">
      <c r="A249" s="176"/>
      <c r="B249" s="176"/>
      <c r="C249" s="176"/>
      <c r="D249" s="176"/>
      <c r="E249" s="176"/>
      <c r="F249" s="176"/>
      <c r="G249" s="176"/>
      <c r="H249" s="176"/>
      <c r="I249" s="176"/>
      <c r="J249" s="176"/>
      <c r="K249" s="176"/>
      <c r="L249" s="176"/>
      <c r="M249" s="176"/>
      <c r="N249" s="176"/>
      <c r="O249" s="176"/>
      <c r="P249" s="176"/>
      <c r="Q249" s="176"/>
      <c r="R249" s="176"/>
      <c r="S249" s="176"/>
      <c r="T249" s="176"/>
      <c r="U249" s="176"/>
      <c r="V249" s="176"/>
      <c r="W249" s="176"/>
      <c r="X249" s="176"/>
      <c r="Y249" s="176"/>
      <c r="Z249" s="176"/>
    </row>
    <row r="250" spans="1:26" ht="9.75" customHeight="1" x14ac:dyDescent="0.25">
      <c r="A250" s="176"/>
      <c r="B250" s="176"/>
      <c r="C250" s="176"/>
      <c r="D250" s="176"/>
      <c r="E250" s="176"/>
      <c r="F250" s="176"/>
      <c r="G250" s="176"/>
      <c r="H250" s="176"/>
      <c r="I250" s="176"/>
      <c r="J250" s="176"/>
      <c r="K250" s="176"/>
      <c r="L250" s="176"/>
      <c r="M250" s="176"/>
      <c r="N250" s="176"/>
      <c r="O250" s="176"/>
      <c r="P250" s="176"/>
      <c r="Q250" s="176"/>
      <c r="R250" s="176"/>
      <c r="S250" s="176"/>
      <c r="T250" s="176"/>
      <c r="U250" s="176"/>
      <c r="V250" s="176"/>
      <c r="W250" s="176"/>
      <c r="X250" s="176"/>
      <c r="Y250" s="176"/>
      <c r="Z250" s="176"/>
    </row>
    <row r="251" spans="1:26" ht="9.75" customHeight="1" x14ac:dyDescent="0.25">
      <c r="A251" s="176"/>
      <c r="B251" s="176"/>
      <c r="C251" s="176"/>
      <c r="D251" s="176"/>
      <c r="E251" s="176"/>
      <c r="F251" s="176"/>
      <c r="G251" s="176"/>
      <c r="H251" s="176"/>
      <c r="I251" s="176"/>
      <c r="J251" s="176"/>
      <c r="K251" s="176"/>
      <c r="L251" s="176"/>
      <c r="M251" s="176"/>
      <c r="N251" s="176"/>
      <c r="O251" s="176"/>
      <c r="P251" s="176"/>
      <c r="Q251" s="176"/>
      <c r="R251" s="176"/>
      <c r="S251" s="176"/>
      <c r="T251" s="176"/>
      <c r="U251" s="176"/>
      <c r="V251" s="176"/>
      <c r="W251" s="176"/>
      <c r="X251" s="176"/>
      <c r="Y251" s="176"/>
      <c r="Z251" s="176"/>
    </row>
    <row r="252" spans="1:26" ht="9.75" customHeight="1" x14ac:dyDescent="0.25">
      <c r="A252" s="176"/>
      <c r="B252" s="176"/>
      <c r="C252" s="176"/>
      <c r="D252" s="176"/>
      <c r="E252" s="176"/>
      <c r="F252" s="176"/>
      <c r="G252" s="176"/>
      <c r="H252" s="176"/>
      <c r="I252" s="176"/>
      <c r="J252" s="176"/>
      <c r="K252" s="176"/>
      <c r="L252" s="176"/>
      <c r="M252" s="176"/>
      <c r="N252" s="176"/>
      <c r="O252" s="176"/>
      <c r="P252" s="176"/>
      <c r="Q252" s="176"/>
      <c r="R252" s="176"/>
      <c r="S252" s="176"/>
      <c r="T252" s="176"/>
      <c r="U252" s="176"/>
      <c r="V252" s="176"/>
      <c r="W252" s="176"/>
      <c r="X252" s="176"/>
      <c r="Y252" s="176"/>
      <c r="Z252" s="176"/>
    </row>
    <row r="253" spans="1:26" ht="9.75" customHeight="1" x14ac:dyDescent="0.25">
      <c r="A253" s="176"/>
      <c r="B253" s="176"/>
      <c r="C253" s="176"/>
      <c r="D253" s="176"/>
      <c r="E253" s="176"/>
      <c r="F253" s="176"/>
      <c r="G253" s="176"/>
      <c r="H253" s="176"/>
      <c r="I253" s="176"/>
      <c r="J253" s="176"/>
      <c r="K253" s="176"/>
      <c r="L253" s="176"/>
      <c r="M253" s="176"/>
      <c r="N253" s="176"/>
      <c r="O253" s="176"/>
      <c r="P253" s="176"/>
      <c r="Q253" s="176"/>
      <c r="R253" s="176"/>
      <c r="S253" s="176"/>
      <c r="T253" s="176"/>
      <c r="U253" s="176"/>
      <c r="V253" s="176"/>
      <c r="W253" s="176"/>
      <c r="X253" s="176"/>
      <c r="Y253" s="176"/>
      <c r="Z253" s="176"/>
    </row>
    <row r="254" spans="1:26" ht="13.2" x14ac:dyDescent="0.25"/>
    <row r="255" spans="1:26" ht="13.2" x14ac:dyDescent="0.25"/>
    <row r="256" spans="1:26" ht="13.2" x14ac:dyDescent="0.25"/>
    <row r="257" ht="13.2" x14ac:dyDescent="0.25"/>
    <row r="258" ht="13.2" x14ac:dyDescent="0.25"/>
    <row r="259" ht="13.2" x14ac:dyDescent="0.25"/>
    <row r="260" ht="13.2" x14ac:dyDescent="0.25"/>
    <row r="261" ht="13.2" x14ac:dyDescent="0.25"/>
    <row r="262" ht="13.2" x14ac:dyDescent="0.25"/>
    <row r="263" ht="13.2" x14ac:dyDescent="0.25"/>
    <row r="264" ht="13.2" x14ac:dyDescent="0.25"/>
    <row r="265" ht="13.2" x14ac:dyDescent="0.25"/>
    <row r="266" ht="13.2" x14ac:dyDescent="0.25"/>
    <row r="267" ht="13.2" x14ac:dyDescent="0.25"/>
    <row r="268" ht="13.2" x14ac:dyDescent="0.25"/>
    <row r="269" ht="13.2" x14ac:dyDescent="0.25"/>
    <row r="270" ht="13.2" x14ac:dyDescent="0.25"/>
    <row r="271" ht="13.2" x14ac:dyDescent="0.25"/>
    <row r="272" ht="13.2" x14ac:dyDescent="0.25"/>
    <row r="273" ht="13.2" x14ac:dyDescent="0.25"/>
    <row r="274" ht="13.2" x14ac:dyDescent="0.25"/>
    <row r="275" ht="13.2" x14ac:dyDescent="0.25"/>
    <row r="276" ht="13.2" x14ac:dyDescent="0.25"/>
    <row r="277" ht="13.2" x14ac:dyDescent="0.25"/>
    <row r="278" ht="13.2" x14ac:dyDescent="0.25"/>
    <row r="279" ht="13.2" x14ac:dyDescent="0.25"/>
    <row r="280" ht="13.2" x14ac:dyDescent="0.25"/>
    <row r="281" ht="13.2" x14ac:dyDescent="0.25"/>
    <row r="282" ht="13.2" x14ac:dyDescent="0.25"/>
    <row r="283" ht="13.2" x14ac:dyDescent="0.25"/>
    <row r="284" ht="13.2" x14ac:dyDescent="0.25"/>
    <row r="285" ht="13.2" x14ac:dyDescent="0.25"/>
    <row r="286" ht="13.2" x14ac:dyDescent="0.25"/>
    <row r="287" ht="13.2" x14ac:dyDescent="0.25"/>
    <row r="288" ht="13.2" x14ac:dyDescent="0.25"/>
    <row r="289" ht="13.2" x14ac:dyDescent="0.25"/>
    <row r="290" ht="13.2" x14ac:dyDescent="0.25"/>
    <row r="291" ht="13.2" x14ac:dyDescent="0.25"/>
    <row r="292" ht="13.2" x14ac:dyDescent="0.25"/>
    <row r="293" ht="13.2" x14ac:dyDescent="0.25"/>
    <row r="294" ht="13.2" x14ac:dyDescent="0.25"/>
    <row r="295" ht="13.2" x14ac:dyDescent="0.25"/>
    <row r="296" ht="13.2" x14ac:dyDescent="0.25"/>
    <row r="297" ht="13.2" x14ac:dyDescent="0.25"/>
    <row r="298" ht="13.2" x14ac:dyDescent="0.25"/>
    <row r="299" ht="13.2" x14ac:dyDescent="0.25"/>
    <row r="300" ht="13.2" x14ac:dyDescent="0.25"/>
    <row r="301" ht="13.2" x14ac:dyDescent="0.25"/>
    <row r="302" ht="13.2" x14ac:dyDescent="0.25"/>
    <row r="303" ht="13.2" x14ac:dyDescent="0.25"/>
    <row r="304" ht="13.2" x14ac:dyDescent="0.25"/>
    <row r="305" ht="13.2" x14ac:dyDescent="0.25"/>
    <row r="306" ht="13.2" x14ac:dyDescent="0.25"/>
    <row r="307" ht="13.2" x14ac:dyDescent="0.25"/>
    <row r="308" ht="13.2" x14ac:dyDescent="0.25"/>
    <row r="309" ht="13.2" x14ac:dyDescent="0.25"/>
    <row r="310" ht="13.2" x14ac:dyDescent="0.25"/>
    <row r="311" ht="13.2" x14ac:dyDescent="0.25"/>
    <row r="312" ht="13.2" x14ac:dyDescent="0.25"/>
    <row r="313" ht="13.2" x14ac:dyDescent="0.25"/>
    <row r="314" ht="13.2" x14ac:dyDescent="0.25"/>
    <row r="315" ht="13.2" x14ac:dyDescent="0.25"/>
    <row r="316" ht="13.2" x14ac:dyDescent="0.25"/>
    <row r="317" ht="13.2" x14ac:dyDescent="0.25"/>
    <row r="318" ht="13.2" x14ac:dyDescent="0.25"/>
    <row r="319" ht="13.2" x14ac:dyDescent="0.25"/>
    <row r="320" ht="13.2" x14ac:dyDescent="0.25"/>
    <row r="321" ht="13.2" x14ac:dyDescent="0.25"/>
    <row r="322" ht="13.2" x14ac:dyDescent="0.25"/>
    <row r="323" ht="13.2" x14ac:dyDescent="0.25"/>
    <row r="324" ht="13.2" x14ac:dyDescent="0.25"/>
    <row r="325" ht="13.2" x14ac:dyDescent="0.25"/>
    <row r="326" ht="13.2" x14ac:dyDescent="0.25"/>
    <row r="327" ht="13.2" x14ac:dyDescent="0.25"/>
    <row r="328" ht="13.2" x14ac:dyDescent="0.25"/>
    <row r="329" ht="13.2" x14ac:dyDescent="0.25"/>
    <row r="330" ht="13.2" x14ac:dyDescent="0.25"/>
    <row r="331" ht="13.2" x14ac:dyDescent="0.25"/>
    <row r="332" ht="13.2" x14ac:dyDescent="0.25"/>
    <row r="333" ht="13.2" x14ac:dyDescent="0.25"/>
    <row r="334" ht="13.2" x14ac:dyDescent="0.25"/>
    <row r="335" ht="13.2" x14ac:dyDescent="0.25"/>
    <row r="336" ht="13.2" x14ac:dyDescent="0.25"/>
    <row r="337" ht="13.2" x14ac:dyDescent="0.25"/>
    <row r="338" ht="13.2" x14ac:dyDescent="0.25"/>
    <row r="339" ht="13.2" x14ac:dyDescent="0.25"/>
    <row r="340" ht="13.2" x14ac:dyDescent="0.25"/>
    <row r="341" ht="13.2" x14ac:dyDescent="0.25"/>
    <row r="342" ht="13.2" x14ac:dyDescent="0.25"/>
    <row r="343" ht="13.2" x14ac:dyDescent="0.25"/>
    <row r="344" ht="13.2" x14ac:dyDescent="0.25"/>
    <row r="345" ht="13.2" x14ac:dyDescent="0.25"/>
    <row r="346" ht="13.2" x14ac:dyDescent="0.25"/>
    <row r="347" ht="13.2" x14ac:dyDescent="0.25"/>
    <row r="348" ht="13.2" x14ac:dyDescent="0.25"/>
    <row r="349" ht="13.2" x14ac:dyDescent="0.25"/>
    <row r="350" ht="13.2" x14ac:dyDescent="0.25"/>
    <row r="351" ht="13.2" x14ac:dyDescent="0.25"/>
    <row r="352" ht="13.2" x14ac:dyDescent="0.25"/>
    <row r="353" ht="13.2" x14ac:dyDescent="0.25"/>
    <row r="354" ht="13.2" x14ac:dyDescent="0.25"/>
    <row r="355" ht="13.2" x14ac:dyDescent="0.25"/>
    <row r="356" ht="13.2" x14ac:dyDescent="0.25"/>
    <row r="357" ht="13.2" x14ac:dyDescent="0.25"/>
    <row r="358" ht="13.2" x14ac:dyDescent="0.25"/>
    <row r="359" ht="13.2" x14ac:dyDescent="0.25"/>
    <row r="360" ht="13.2" x14ac:dyDescent="0.25"/>
    <row r="361" ht="13.2" x14ac:dyDescent="0.25"/>
    <row r="362" ht="13.2" x14ac:dyDescent="0.25"/>
    <row r="363" ht="13.2" x14ac:dyDescent="0.25"/>
    <row r="364" ht="13.2" x14ac:dyDescent="0.25"/>
    <row r="365" ht="13.2" x14ac:dyDescent="0.25"/>
    <row r="366" ht="13.2" x14ac:dyDescent="0.25"/>
    <row r="367" ht="13.2" x14ac:dyDescent="0.25"/>
    <row r="368" ht="13.2" x14ac:dyDescent="0.25"/>
    <row r="369" ht="13.2" x14ac:dyDescent="0.25"/>
    <row r="370" ht="13.2" x14ac:dyDescent="0.25"/>
    <row r="371" ht="13.2" x14ac:dyDescent="0.25"/>
    <row r="372" ht="13.2" x14ac:dyDescent="0.25"/>
    <row r="373" ht="13.2" x14ac:dyDescent="0.25"/>
    <row r="374" ht="13.2" x14ac:dyDescent="0.25"/>
    <row r="375" ht="13.2" x14ac:dyDescent="0.25"/>
    <row r="376" ht="13.2" x14ac:dyDescent="0.25"/>
    <row r="377" ht="13.2" x14ac:dyDescent="0.25"/>
    <row r="378" ht="13.2" x14ac:dyDescent="0.25"/>
    <row r="379" ht="13.2" x14ac:dyDescent="0.25"/>
    <row r="380" ht="13.2" x14ac:dyDescent="0.25"/>
    <row r="381" ht="13.2" x14ac:dyDescent="0.25"/>
    <row r="382" ht="13.2" x14ac:dyDescent="0.25"/>
    <row r="383" ht="13.2" x14ac:dyDescent="0.25"/>
    <row r="384" ht="13.2" x14ac:dyDescent="0.25"/>
    <row r="385" ht="13.2" x14ac:dyDescent="0.25"/>
    <row r="386" ht="13.2" x14ac:dyDescent="0.25"/>
    <row r="387" ht="13.2" x14ac:dyDescent="0.25"/>
    <row r="388" ht="13.2" x14ac:dyDescent="0.25"/>
    <row r="389" ht="13.2" x14ac:dyDescent="0.25"/>
    <row r="390" ht="13.2" x14ac:dyDescent="0.25"/>
    <row r="391" ht="13.2" x14ac:dyDescent="0.25"/>
    <row r="392" ht="13.2" x14ac:dyDescent="0.25"/>
    <row r="393" ht="13.2" x14ac:dyDescent="0.25"/>
    <row r="394" ht="13.2" x14ac:dyDescent="0.25"/>
    <row r="395" ht="13.2" x14ac:dyDescent="0.25"/>
    <row r="396" ht="13.2" x14ac:dyDescent="0.25"/>
    <row r="397" ht="13.2" x14ac:dyDescent="0.25"/>
    <row r="398" ht="13.2" x14ac:dyDescent="0.25"/>
    <row r="399" ht="13.2" x14ac:dyDescent="0.25"/>
    <row r="400" ht="13.2" x14ac:dyDescent="0.25"/>
    <row r="401" ht="13.2" x14ac:dyDescent="0.25"/>
    <row r="402" ht="13.2" x14ac:dyDescent="0.25"/>
    <row r="403" ht="13.2" x14ac:dyDescent="0.25"/>
    <row r="404" ht="13.2" x14ac:dyDescent="0.25"/>
    <row r="405" ht="13.2" x14ac:dyDescent="0.25"/>
    <row r="406" ht="13.2" x14ac:dyDescent="0.25"/>
    <row r="407" ht="13.2" x14ac:dyDescent="0.25"/>
    <row r="408" ht="13.2" x14ac:dyDescent="0.25"/>
    <row r="409" ht="13.2" x14ac:dyDescent="0.25"/>
    <row r="410" ht="13.2" x14ac:dyDescent="0.25"/>
    <row r="411" ht="13.2" x14ac:dyDescent="0.25"/>
    <row r="412" ht="13.2" x14ac:dyDescent="0.25"/>
    <row r="413" ht="13.2" x14ac:dyDescent="0.25"/>
    <row r="414" ht="13.2" x14ac:dyDescent="0.25"/>
    <row r="415" ht="13.2" x14ac:dyDescent="0.25"/>
    <row r="416" ht="13.2" x14ac:dyDescent="0.25"/>
    <row r="417" ht="13.2" x14ac:dyDescent="0.25"/>
    <row r="418" ht="13.2" x14ac:dyDescent="0.25"/>
    <row r="419" ht="13.2" x14ac:dyDescent="0.25"/>
    <row r="420" ht="13.2" x14ac:dyDescent="0.25"/>
    <row r="421" ht="13.2" x14ac:dyDescent="0.25"/>
    <row r="422" ht="13.2" x14ac:dyDescent="0.25"/>
    <row r="423" ht="13.2" x14ac:dyDescent="0.25"/>
    <row r="424" ht="13.2" x14ac:dyDescent="0.25"/>
    <row r="425" ht="13.2" x14ac:dyDescent="0.25"/>
    <row r="426" ht="13.2" x14ac:dyDescent="0.25"/>
    <row r="427" ht="13.2" x14ac:dyDescent="0.25"/>
    <row r="428" ht="13.2" x14ac:dyDescent="0.25"/>
    <row r="429" ht="13.2" x14ac:dyDescent="0.25"/>
    <row r="430" ht="13.2" x14ac:dyDescent="0.25"/>
    <row r="431" ht="13.2" x14ac:dyDescent="0.25"/>
    <row r="432" ht="13.2" x14ac:dyDescent="0.25"/>
    <row r="433" ht="13.2" x14ac:dyDescent="0.25"/>
    <row r="434" ht="13.2" x14ac:dyDescent="0.25"/>
    <row r="435" ht="13.2" x14ac:dyDescent="0.25"/>
    <row r="436" ht="13.2" x14ac:dyDescent="0.25"/>
    <row r="437" ht="13.2" x14ac:dyDescent="0.25"/>
    <row r="438" ht="13.2" x14ac:dyDescent="0.25"/>
    <row r="439" ht="13.2" x14ac:dyDescent="0.25"/>
    <row r="440" ht="13.2" x14ac:dyDescent="0.25"/>
    <row r="441" ht="13.2" x14ac:dyDescent="0.25"/>
    <row r="442" ht="13.2" x14ac:dyDescent="0.25"/>
    <row r="443" ht="13.2" x14ac:dyDescent="0.25"/>
    <row r="444" ht="13.2" x14ac:dyDescent="0.25"/>
    <row r="445" ht="13.2" x14ac:dyDescent="0.25"/>
    <row r="446" ht="13.2" x14ac:dyDescent="0.25"/>
    <row r="447" ht="13.2" x14ac:dyDescent="0.25"/>
    <row r="448" ht="13.2" x14ac:dyDescent="0.25"/>
    <row r="449" ht="13.2" x14ac:dyDescent="0.25"/>
    <row r="450" ht="13.2" x14ac:dyDescent="0.25"/>
    <row r="451" ht="13.2" x14ac:dyDescent="0.25"/>
    <row r="452" ht="13.2" x14ac:dyDescent="0.25"/>
    <row r="453" ht="13.2" x14ac:dyDescent="0.25"/>
    <row r="454" ht="13.2" x14ac:dyDescent="0.25"/>
    <row r="455" ht="13.2" x14ac:dyDescent="0.25"/>
    <row r="456" ht="13.2" x14ac:dyDescent="0.25"/>
    <row r="457" ht="13.2" x14ac:dyDescent="0.25"/>
    <row r="458" ht="13.2" x14ac:dyDescent="0.25"/>
    <row r="459" ht="13.2" x14ac:dyDescent="0.25"/>
    <row r="460" ht="13.2" x14ac:dyDescent="0.25"/>
    <row r="461" ht="13.2" x14ac:dyDescent="0.25"/>
    <row r="462" ht="13.2" x14ac:dyDescent="0.25"/>
    <row r="463" ht="13.2" x14ac:dyDescent="0.25"/>
    <row r="464" ht="13.2" x14ac:dyDescent="0.25"/>
    <row r="465" ht="13.2" x14ac:dyDescent="0.25"/>
    <row r="466" ht="13.2" x14ac:dyDescent="0.25"/>
    <row r="467" ht="13.2" x14ac:dyDescent="0.25"/>
    <row r="468" ht="13.2" x14ac:dyDescent="0.25"/>
    <row r="469" ht="13.2" x14ac:dyDescent="0.25"/>
    <row r="470" ht="13.2" x14ac:dyDescent="0.25"/>
    <row r="471" ht="13.2" x14ac:dyDescent="0.25"/>
    <row r="472" ht="13.2" x14ac:dyDescent="0.25"/>
    <row r="473" ht="13.2" x14ac:dyDescent="0.25"/>
    <row r="474" ht="13.2" x14ac:dyDescent="0.25"/>
    <row r="475" ht="13.2" x14ac:dyDescent="0.25"/>
    <row r="476" ht="13.2" x14ac:dyDescent="0.25"/>
    <row r="477" ht="13.2" x14ac:dyDescent="0.25"/>
    <row r="478" ht="13.2" x14ac:dyDescent="0.25"/>
    <row r="479" ht="13.2" x14ac:dyDescent="0.25"/>
    <row r="480" ht="13.2" x14ac:dyDescent="0.25"/>
    <row r="481" ht="13.2" x14ac:dyDescent="0.25"/>
    <row r="482" ht="13.2" x14ac:dyDescent="0.25"/>
    <row r="483" ht="13.2" x14ac:dyDescent="0.25"/>
    <row r="484" ht="13.2" x14ac:dyDescent="0.25"/>
    <row r="485" ht="13.2" x14ac:dyDescent="0.25"/>
    <row r="486" ht="13.2" x14ac:dyDescent="0.25"/>
    <row r="487" ht="13.2" x14ac:dyDescent="0.25"/>
    <row r="488" ht="13.2" x14ac:dyDescent="0.25"/>
    <row r="489" ht="13.2" x14ac:dyDescent="0.25"/>
    <row r="490" ht="13.2" x14ac:dyDescent="0.25"/>
    <row r="491" ht="13.2" x14ac:dyDescent="0.25"/>
    <row r="492" ht="13.2" x14ac:dyDescent="0.25"/>
    <row r="493" ht="13.2" x14ac:dyDescent="0.25"/>
    <row r="494" ht="13.2" x14ac:dyDescent="0.25"/>
    <row r="495" ht="13.2" x14ac:dyDescent="0.25"/>
    <row r="496" ht="13.2" x14ac:dyDescent="0.25"/>
    <row r="497" ht="13.2" x14ac:dyDescent="0.25"/>
    <row r="498" ht="13.2" x14ac:dyDescent="0.25"/>
    <row r="499" ht="13.2" x14ac:dyDescent="0.25"/>
    <row r="500" ht="13.2" x14ac:dyDescent="0.25"/>
    <row r="501" ht="13.2" x14ac:dyDescent="0.25"/>
    <row r="502" ht="13.2" x14ac:dyDescent="0.25"/>
    <row r="503" ht="13.2" x14ac:dyDescent="0.25"/>
    <row r="504" ht="13.2" x14ac:dyDescent="0.25"/>
    <row r="505" ht="13.2" x14ac:dyDescent="0.25"/>
    <row r="506" ht="13.2" x14ac:dyDescent="0.25"/>
    <row r="507" ht="13.2" x14ac:dyDescent="0.25"/>
    <row r="508" ht="13.2" x14ac:dyDescent="0.25"/>
    <row r="509" ht="13.2" x14ac:dyDescent="0.25"/>
    <row r="510" ht="13.2" x14ac:dyDescent="0.25"/>
    <row r="511" ht="13.2" x14ac:dyDescent="0.25"/>
    <row r="512" ht="13.2" x14ac:dyDescent="0.25"/>
    <row r="513" ht="13.2" x14ac:dyDescent="0.25"/>
    <row r="514" ht="13.2" x14ac:dyDescent="0.25"/>
    <row r="515" ht="13.2" x14ac:dyDescent="0.25"/>
    <row r="516" ht="13.2" x14ac:dyDescent="0.25"/>
    <row r="517" ht="13.2" x14ac:dyDescent="0.25"/>
    <row r="518" ht="13.2" x14ac:dyDescent="0.25"/>
    <row r="519" ht="13.2" x14ac:dyDescent="0.25"/>
    <row r="520" ht="13.2" x14ac:dyDescent="0.25"/>
    <row r="521" ht="13.2" x14ac:dyDescent="0.25"/>
    <row r="522" ht="13.2" x14ac:dyDescent="0.25"/>
    <row r="523" ht="13.2" x14ac:dyDescent="0.25"/>
    <row r="524" ht="13.2" x14ac:dyDescent="0.25"/>
    <row r="525" ht="13.2" x14ac:dyDescent="0.25"/>
    <row r="526" ht="13.2" x14ac:dyDescent="0.25"/>
    <row r="527" ht="13.2" x14ac:dyDescent="0.25"/>
    <row r="528" ht="13.2" x14ac:dyDescent="0.25"/>
    <row r="529" ht="13.2" x14ac:dyDescent="0.25"/>
    <row r="530" ht="13.2" x14ac:dyDescent="0.25"/>
    <row r="531" ht="13.2" x14ac:dyDescent="0.25"/>
    <row r="532" ht="13.2" x14ac:dyDescent="0.25"/>
    <row r="533" ht="13.2" x14ac:dyDescent="0.25"/>
    <row r="534" ht="13.2" x14ac:dyDescent="0.25"/>
    <row r="535" ht="13.2" x14ac:dyDescent="0.25"/>
    <row r="536" ht="13.2" x14ac:dyDescent="0.25"/>
    <row r="537" ht="13.2" x14ac:dyDescent="0.25"/>
    <row r="538" ht="13.2" x14ac:dyDescent="0.25"/>
    <row r="539" ht="13.2" x14ac:dyDescent="0.25"/>
    <row r="540" ht="13.2" x14ac:dyDescent="0.25"/>
    <row r="541" ht="13.2" x14ac:dyDescent="0.25"/>
    <row r="542" ht="13.2" x14ac:dyDescent="0.25"/>
    <row r="543" ht="13.2" x14ac:dyDescent="0.25"/>
    <row r="544" ht="13.2" x14ac:dyDescent="0.25"/>
    <row r="545" ht="13.2" x14ac:dyDescent="0.25"/>
    <row r="546" ht="13.2" x14ac:dyDescent="0.25"/>
    <row r="547" ht="13.2" x14ac:dyDescent="0.25"/>
    <row r="548" ht="13.2" x14ac:dyDescent="0.25"/>
    <row r="549" ht="13.2" x14ac:dyDescent="0.25"/>
    <row r="550" ht="13.2" x14ac:dyDescent="0.25"/>
    <row r="551" ht="13.2" x14ac:dyDescent="0.25"/>
    <row r="552" ht="13.2" x14ac:dyDescent="0.25"/>
    <row r="553" ht="13.2" x14ac:dyDescent="0.25"/>
    <row r="554" ht="13.2" x14ac:dyDescent="0.25"/>
    <row r="555" ht="13.2" x14ac:dyDescent="0.25"/>
    <row r="556" ht="13.2" x14ac:dyDescent="0.25"/>
    <row r="557" ht="13.2" x14ac:dyDescent="0.25"/>
    <row r="558" ht="13.2" x14ac:dyDescent="0.25"/>
    <row r="559" ht="13.2" x14ac:dyDescent="0.25"/>
    <row r="560" ht="13.2" x14ac:dyDescent="0.25"/>
    <row r="561" ht="13.2" x14ac:dyDescent="0.25"/>
    <row r="562" ht="13.2" x14ac:dyDescent="0.25"/>
    <row r="563" ht="13.2" x14ac:dyDescent="0.25"/>
    <row r="564" ht="13.2" x14ac:dyDescent="0.25"/>
    <row r="565" ht="13.2" x14ac:dyDescent="0.25"/>
    <row r="566" ht="13.2" x14ac:dyDescent="0.25"/>
    <row r="567" ht="13.2" x14ac:dyDescent="0.25"/>
    <row r="568" ht="13.2" x14ac:dyDescent="0.25"/>
    <row r="569" ht="13.2" x14ac:dyDescent="0.25"/>
    <row r="570" ht="13.2" x14ac:dyDescent="0.25"/>
    <row r="571" ht="13.2" x14ac:dyDescent="0.25"/>
    <row r="572" ht="13.2" x14ac:dyDescent="0.25"/>
    <row r="573" ht="13.2" x14ac:dyDescent="0.25"/>
    <row r="574" ht="13.2" x14ac:dyDescent="0.25"/>
    <row r="575" ht="13.2" x14ac:dyDescent="0.25"/>
    <row r="576" ht="13.2" x14ac:dyDescent="0.25"/>
    <row r="577" ht="13.2" x14ac:dyDescent="0.25"/>
    <row r="578" ht="13.2" x14ac:dyDescent="0.25"/>
    <row r="579" ht="13.2" x14ac:dyDescent="0.25"/>
    <row r="580" ht="13.2" x14ac:dyDescent="0.25"/>
    <row r="581" ht="13.2" x14ac:dyDescent="0.25"/>
    <row r="582" ht="13.2" x14ac:dyDescent="0.25"/>
    <row r="583" ht="13.2" x14ac:dyDescent="0.25"/>
    <row r="584" ht="13.2" x14ac:dyDescent="0.25"/>
    <row r="585" ht="13.2" x14ac:dyDescent="0.25"/>
    <row r="586" ht="13.2" x14ac:dyDescent="0.25"/>
    <row r="587" ht="13.2" x14ac:dyDescent="0.25"/>
    <row r="588" ht="13.2" x14ac:dyDescent="0.25"/>
    <row r="589" ht="13.2" x14ac:dyDescent="0.25"/>
    <row r="590" ht="13.2" x14ac:dyDescent="0.25"/>
    <row r="591" ht="13.2" x14ac:dyDescent="0.25"/>
    <row r="592" ht="13.2" x14ac:dyDescent="0.25"/>
    <row r="593" ht="13.2" x14ac:dyDescent="0.25"/>
    <row r="594" ht="13.2" x14ac:dyDescent="0.25"/>
    <row r="595" ht="13.2" x14ac:dyDescent="0.25"/>
    <row r="596" ht="13.2" x14ac:dyDescent="0.25"/>
    <row r="597" ht="13.2" x14ac:dyDescent="0.25"/>
    <row r="598" ht="13.2" x14ac:dyDescent="0.25"/>
    <row r="599" ht="13.2" x14ac:dyDescent="0.25"/>
    <row r="600" ht="13.2" x14ac:dyDescent="0.25"/>
    <row r="601" ht="13.2" x14ac:dyDescent="0.25"/>
    <row r="602" ht="13.2" x14ac:dyDescent="0.25"/>
    <row r="603" ht="13.2" x14ac:dyDescent="0.25"/>
    <row r="604" ht="13.2" x14ac:dyDescent="0.25"/>
    <row r="605" ht="13.2" x14ac:dyDescent="0.25"/>
    <row r="606" ht="13.2" x14ac:dyDescent="0.25"/>
    <row r="607" ht="13.2" x14ac:dyDescent="0.25"/>
    <row r="608" ht="13.2" x14ac:dyDescent="0.25"/>
    <row r="609" ht="13.2" x14ac:dyDescent="0.25"/>
    <row r="610" ht="13.2" x14ac:dyDescent="0.25"/>
    <row r="611" ht="13.2" x14ac:dyDescent="0.25"/>
    <row r="612" ht="13.2" x14ac:dyDescent="0.25"/>
    <row r="613" ht="13.2" x14ac:dyDescent="0.25"/>
    <row r="614" ht="13.2" x14ac:dyDescent="0.25"/>
    <row r="615" ht="13.2" x14ac:dyDescent="0.25"/>
    <row r="616" ht="13.2" x14ac:dyDescent="0.25"/>
    <row r="617" ht="13.2" x14ac:dyDescent="0.25"/>
    <row r="618" ht="13.2" x14ac:dyDescent="0.25"/>
    <row r="619" ht="13.2" x14ac:dyDescent="0.25"/>
    <row r="620" ht="13.2" x14ac:dyDescent="0.25"/>
    <row r="621" ht="13.2" x14ac:dyDescent="0.25"/>
    <row r="622" ht="13.2" x14ac:dyDescent="0.25"/>
    <row r="623" ht="13.2" x14ac:dyDescent="0.25"/>
    <row r="624" ht="13.2" x14ac:dyDescent="0.25"/>
    <row r="625" ht="13.2" x14ac:dyDescent="0.25"/>
    <row r="626" ht="13.2" x14ac:dyDescent="0.25"/>
    <row r="627" ht="13.2" x14ac:dyDescent="0.25"/>
    <row r="628" ht="13.2" x14ac:dyDescent="0.25"/>
    <row r="629" ht="13.2" x14ac:dyDescent="0.25"/>
    <row r="630" ht="13.2" x14ac:dyDescent="0.25"/>
    <row r="631" ht="13.2" x14ac:dyDescent="0.25"/>
    <row r="632" ht="13.2" x14ac:dyDescent="0.25"/>
    <row r="633" ht="13.2" x14ac:dyDescent="0.25"/>
    <row r="634" ht="13.2" x14ac:dyDescent="0.25"/>
    <row r="635" ht="13.2" x14ac:dyDescent="0.25"/>
    <row r="636" ht="13.2" x14ac:dyDescent="0.25"/>
    <row r="637" ht="13.2" x14ac:dyDescent="0.25"/>
    <row r="638" ht="13.2" x14ac:dyDescent="0.25"/>
    <row r="639" ht="13.2" x14ac:dyDescent="0.25"/>
    <row r="640" ht="13.2" x14ac:dyDescent="0.25"/>
    <row r="641" ht="13.2" x14ac:dyDescent="0.25"/>
    <row r="642" ht="13.2" x14ac:dyDescent="0.25"/>
    <row r="643" ht="13.2" x14ac:dyDescent="0.25"/>
    <row r="644" ht="13.2" x14ac:dyDescent="0.25"/>
    <row r="645" ht="13.2" x14ac:dyDescent="0.25"/>
    <row r="646" ht="13.2" x14ac:dyDescent="0.25"/>
    <row r="647" ht="13.2" x14ac:dyDescent="0.25"/>
    <row r="648" ht="13.2" x14ac:dyDescent="0.25"/>
    <row r="649" ht="13.2" x14ac:dyDescent="0.25"/>
    <row r="650" ht="13.2" x14ac:dyDescent="0.25"/>
    <row r="651" ht="13.2" x14ac:dyDescent="0.25"/>
    <row r="652" ht="13.2" x14ac:dyDescent="0.25"/>
    <row r="653" ht="13.2" x14ac:dyDescent="0.25"/>
    <row r="654" ht="13.2" x14ac:dyDescent="0.25"/>
    <row r="655" ht="13.2" x14ac:dyDescent="0.25"/>
    <row r="656" ht="13.2" x14ac:dyDescent="0.25"/>
    <row r="657" ht="13.2" x14ac:dyDescent="0.25"/>
    <row r="658" ht="13.2" x14ac:dyDescent="0.25"/>
    <row r="659" ht="13.2" x14ac:dyDescent="0.25"/>
    <row r="660" ht="13.2" x14ac:dyDescent="0.25"/>
    <row r="661" ht="13.2" x14ac:dyDescent="0.25"/>
    <row r="662" ht="13.2" x14ac:dyDescent="0.25"/>
    <row r="663" ht="13.2" x14ac:dyDescent="0.25"/>
    <row r="664" ht="13.2" x14ac:dyDescent="0.25"/>
    <row r="665" ht="13.2" x14ac:dyDescent="0.25"/>
    <row r="666" ht="13.2" x14ac:dyDescent="0.25"/>
    <row r="667" ht="13.2" x14ac:dyDescent="0.25"/>
    <row r="668" ht="13.2" x14ac:dyDescent="0.25"/>
    <row r="669" ht="13.2" x14ac:dyDescent="0.25"/>
    <row r="670" ht="13.2" x14ac:dyDescent="0.25"/>
    <row r="671" ht="13.2" x14ac:dyDescent="0.25"/>
    <row r="672" ht="13.2" x14ac:dyDescent="0.25"/>
    <row r="673" ht="13.2" x14ac:dyDescent="0.25"/>
    <row r="674" ht="13.2" x14ac:dyDescent="0.25"/>
    <row r="675" ht="13.2" x14ac:dyDescent="0.25"/>
    <row r="676" ht="13.2" x14ac:dyDescent="0.25"/>
    <row r="677" ht="13.2" x14ac:dyDescent="0.25"/>
    <row r="678" ht="13.2" x14ac:dyDescent="0.25"/>
    <row r="679" ht="13.2" x14ac:dyDescent="0.25"/>
    <row r="680" ht="13.2" x14ac:dyDescent="0.25"/>
    <row r="681" ht="13.2" x14ac:dyDescent="0.25"/>
    <row r="682" ht="13.2" x14ac:dyDescent="0.25"/>
    <row r="683" ht="13.2" x14ac:dyDescent="0.25"/>
    <row r="684" ht="13.2" x14ac:dyDescent="0.25"/>
    <row r="685" ht="13.2" x14ac:dyDescent="0.25"/>
    <row r="686" ht="13.2" x14ac:dyDescent="0.25"/>
    <row r="687" ht="13.2" x14ac:dyDescent="0.25"/>
    <row r="688" ht="13.2" x14ac:dyDescent="0.25"/>
    <row r="689" ht="13.2" x14ac:dyDescent="0.25"/>
    <row r="690" ht="13.2" x14ac:dyDescent="0.25"/>
    <row r="691" ht="13.2" x14ac:dyDescent="0.25"/>
    <row r="692" ht="13.2" x14ac:dyDescent="0.25"/>
    <row r="693" ht="13.2" x14ac:dyDescent="0.25"/>
    <row r="694" ht="13.2" x14ac:dyDescent="0.25"/>
    <row r="695" ht="13.2" x14ac:dyDescent="0.25"/>
    <row r="696" ht="13.2" x14ac:dyDescent="0.25"/>
    <row r="697" ht="13.2" x14ac:dyDescent="0.25"/>
    <row r="698" ht="13.2" x14ac:dyDescent="0.25"/>
    <row r="699" ht="13.2" x14ac:dyDescent="0.25"/>
    <row r="700" ht="13.2" x14ac:dyDescent="0.25"/>
    <row r="701" ht="13.2" x14ac:dyDescent="0.25"/>
    <row r="702" ht="13.2" x14ac:dyDescent="0.25"/>
    <row r="703" ht="13.2" x14ac:dyDescent="0.25"/>
    <row r="704" ht="13.2" x14ac:dyDescent="0.25"/>
    <row r="705" ht="13.2" x14ac:dyDescent="0.25"/>
    <row r="706" ht="13.2" x14ac:dyDescent="0.25"/>
    <row r="707" ht="13.2" x14ac:dyDescent="0.25"/>
    <row r="708" ht="13.2" x14ac:dyDescent="0.25"/>
    <row r="709" ht="13.2" x14ac:dyDescent="0.25"/>
    <row r="710" ht="13.2" x14ac:dyDescent="0.25"/>
    <row r="711" ht="13.2" x14ac:dyDescent="0.25"/>
    <row r="712" ht="13.2" x14ac:dyDescent="0.25"/>
    <row r="713" ht="13.2" x14ac:dyDescent="0.25"/>
    <row r="714" ht="13.2" x14ac:dyDescent="0.25"/>
    <row r="715" ht="13.2" x14ac:dyDescent="0.25"/>
    <row r="716" ht="13.2" x14ac:dyDescent="0.25"/>
    <row r="717" ht="13.2" x14ac:dyDescent="0.25"/>
    <row r="718" ht="13.2" x14ac:dyDescent="0.25"/>
    <row r="719" ht="13.2" x14ac:dyDescent="0.25"/>
    <row r="720" ht="13.2" x14ac:dyDescent="0.25"/>
    <row r="721" ht="13.2" x14ac:dyDescent="0.25"/>
    <row r="722" ht="13.2" x14ac:dyDescent="0.25"/>
    <row r="723" ht="13.2" x14ac:dyDescent="0.25"/>
    <row r="724" ht="13.2" x14ac:dyDescent="0.25"/>
    <row r="725" ht="13.2" x14ac:dyDescent="0.25"/>
    <row r="726" ht="13.2" x14ac:dyDescent="0.25"/>
    <row r="727" ht="13.2" x14ac:dyDescent="0.25"/>
    <row r="728" ht="13.2" x14ac:dyDescent="0.25"/>
    <row r="729" ht="13.2" x14ac:dyDescent="0.25"/>
    <row r="730" ht="13.2" x14ac:dyDescent="0.25"/>
    <row r="731" ht="13.2" x14ac:dyDescent="0.25"/>
    <row r="732" ht="13.2" x14ac:dyDescent="0.25"/>
    <row r="733" ht="13.2" x14ac:dyDescent="0.25"/>
    <row r="734" ht="13.2" x14ac:dyDescent="0.25"/>
    <row r="735" ht="13.2" x14ac:dyDescent="0.25"/>
    <row r="736" ht="13.2" x14ac:dyDescent="0.25"/>
    <row r="737" ht="13.2" x14ac:dyDescent="0.25"/>
    <row r="738" ht="13.2" x14ac:dyDescent="0.25"/>
    <row r="739" ht="13.2" x14ac:dyDescent="0.25"/>
    <row r="740" ht="13.2" x14ac:dyDescent="0.25"/>
    <row r="741" ht="13.2" x14ac:dyDescent="0.25"/>
    <row r="742" ht="13.2" x14ac:dyDescent="0.25"/>
    <row r="743" ht="13.2" x14ac:dyDescent="0.25"/>
    <row r="744" ht="13.2" x14ac:dyDescent="0.25"/>
    <row r="745" ht="13.2" x14ac:dyDescent="0.25"/>
    <row r="746" ht="13.2" x14ac:dyDescent="0.25"/>
    <row r="747" ht="13.2" x14ac:dyDescent="0.25"/>
    <row r="748" ht="13.2" x14ac:dyDescent="0.25"/>
    <row r="749" ht="13.2" x14ac:dyDescent="0.25"/>
    <row r="750" ht="13.2" x14ac:dyDescent="0.25"/>
    <row r="751" ht="13.2" x14ac:dyDescent="0.25"/>
    <row r="752" ht="13.2" x14ac:dyDescent="0.25"/>
    <row r="753" ht="13.2" x14ac:dyDescent="0.25"/>
    <row r="754" ht="13.2" x14ac:dyDescent="0.25"/>
    <row r="755" ht="13.2" x14ac:dyDescent="0.25"/>
    <row r="756" ht="13.2" x14ac:dyDescent="0.25"/>
    <row r="757" ht="13.2" x14ac:dyDescent="0.25"/>
    <row r="758" ht="13.2" x14ac:dyDescent="0.25"/>
    <row r="759" ht="13.2" x14ac:dyDescent="0.25"/>
    <row r="760" ht="13.2" x14ac:dyDescent="0.25"/>
    <row r="761" ht="13.2" x14ac:dyDescent="0.25"/>
    <row r="762" ht="13.2" x14ac:dyDescent="0.25"/>
    <row r="763" ht="13.2" x14ac:dyDescent="0.25"/>
    <row r="764" ht="13.2" x14ac:dyDescent="0.25"/>
    <row r="765" ht="13.2" x14ac:dyDescent="0.25"/>
    <row r="766" ht="13.2" x14ac:dyDescent="0.25"/>
    <row r="767" ht="13.2" x14ac:dyDescent="0.25"/>
    <row r="768" ht="13.2" x14ac:dyDescent="0.25"/>
    <row r="769" ht="13.2" x14ac:dyDescent="0.25"/>
    <row r="770" ht="13.2" x14ac:dyDescent="0.25"/>
    <row r="771" ht="13.2" x14ac:dyDescent="0.25"/>
    <row r="772" ht="13.2" x14ac:dyDescent="0.25"/>
    <row r="773" ht="13.2" x14ac:dyDescent="0.25"/>
    <row r="774" ht="13.2" x14ac:dyDescent="0.25"/>
    <row r="775" ht="13.2" x14ac:dyDescent="0.25"/>
    <row r="776" ht="13.2" x14ac:dyDescent="0.25"/>
    <row r="777" ht="13.2" x14ac:dyDescent="0.25"/>
    <row r="778" ht="13.2" x14ac:dyDescent="0.25"/>
    <row r="779" ht="13.2" x14ac:dyDescent="0.25"/>
    <row r="780" ht="13.2" x14ac:dyDescent="0.25"/>
    <row r="781" ht="13.2" x14ac:dyDescent="0.25"/>
    <row r="782" ht="13.2" x14ac:dyDescent="0.25"/>
    <row r="783" ht="13.2" x14ac:dyDescent="0.25"/>
    <row r="784" ht="13.2" x14ac:dyDescent="0.25"/>
    <row r="785" ht="13.2" x14ac:dyDescent="0.25"/>
    <row r="786" ht="13.2" x14ac:dyDescent="0.25"/>
    <row r="787" ht="13.2" x14ac:dyDescent="0.25"/>
    <row r="788" ht="13.2" x14ac:dyDescent="0.25"/>
    <row r="789" ht="13.2" x14ac:dyDescent="0.25"/>
    <row r="790" ht="13.2" x14ac:dyDescent="0.25"/>
    <row r="791" ht="13.2" x14ac:dyDescent="0.25"/>
    <row r="792" ht="13.2" x14ac:dyDescent="0.25"/>
    <row r="793" ht="13.2" x14ac:dyDescent="0.25"/>
    <row r="794" ht="13.2" x14ac:dyDescent="0.25"/>
    <row r="795" ht="13.2" x14ac:dyDescent="0.25"/>
    <row r="796" ht="13.2" x14ac:dyDescent="0.25"/>
    <row r="797" ht="13.2" x14ac:dyDescent="0.25"/>
    <row r="798" ht="13.2" x14ac:dyDescent="0.25"/>
    <row r="799" ht="13.2" x14ac:dyDescent="0.25"/>
    <row r="800" ht="13.2" x14ac:dyDescent="0.25"/>
    <row r="801" ht="13.2" x14ac:dyDescent="0.25"/>
    <row r="802" ht="13.2" x14ac:dyDescent="0.25"/>
    <row r="803" ht="13.2" x14ac:dyDescent="0.25"/>
    <row r="804" ht="13.2" x14ac:dyDescent="0.25"/>
    <row r="805" ht="13.2" x14ac:dyDescent="0.25"/>
    <row r="806" ht="13.2" x14ac:dyDescent="0.25"/>
    <row r="807" ht="13.2" x14ac:dyDescent="0.25"/>
    <row r="808" ht="13.2" x14ac:dyDescent="0.25"/>
    <row r="809" ht="13.2" x14ac:dyDescent="0.25"/>
    <row r="810" ht="13.2" x14ac:dyDescent="0.25"/>
    <row r="811" ht="13.2" x14ac:dyDescent="0.25"/>
    <row r="812" ht="13.2" x14ac:dyDescent="0.25"/>
    <row r="813" ht="13.2" x14ac:dyDescent="0.25"/>
    <row r="814" ht="13.2" x14ac:dyDescent="0.25"/>
    <row r="815" ht="13.2" x14ac:dyDescent="0.25"/>
    <row r="816" ht="13.2" x14ac:dyDescent="0.25"/>
    <row r="817" ht="13.2" x14ac:dyDescent="0.25"/>
    <row r="818" ht="13.2" x14ac:dyDescent="0.25"/>
    <row r="819" ht="13.2" x14ac:dyDescent="0.25"/>
    <row r="820" ht="13.2" x14ac:dyDescent="0.25"/>
    <row r="821" ht="13.2" x14ac:dyDescent="0.25"/>
    <row r="822" ht="13.2" x14ac:dyDescent="0.25"/>
    <row r="823" ht="13.2" x14ac:dyDescent="0.25"/>
    <row r="824" ht="13.2" x14ac:dyDescent="0.25"/>
    <row r="825" ht="13.2" x14ac:dyDescent="0.25"/>
    <row r="826" ht="13.2" x14ac:dyDescent="0.25"/>
    <row r="827" ht="13.2" x14ac:dyDescent="0.25"/>
    <row r="828" ht="13.2" x14ac:dyDescent="0.25"/>
    <row r="829" ht="13.2" x14ac:dyDescent="0.25"/>
    <row r="830" ht="13.2" x14ac:dyDescent="0.25"/>
    <row r="831" ht="13.2" x14ac:dyDescent="0.25"/>
    <row r="832" ht="13.2" x14ac:dyDescent="0.25"/>
    <row r="833" ht="13.2" x14ac:dyDescent="0.25"/>
    <row r="834" ht="13.2" x14ac:dyDescent="0.25"/>
    <row r="835" ht="13.2" x14ac:dyDescent="0.25"/>
    <row r="836" ht="13.2" x14ac:dyDescent="0.25"/>
    <row r="837" ht="13.2" x14ac:dyDescent="0.25"/>
    <row r="838" ht="13.2" x14ac:dyDescent="0.25"/>
    <row r="839" ht="13.2" x14ac:dyDescent="0.25"/>
    <row r="840" ht="13.2" x14ac:dyDescent="0.25"/>
    <row r="841" ht="13.2" x14ac:dyDescent="0.25"/>
    <row r="842" ht="13.2" x14ac:dyDescent="0.25"/>
    <row r="843" ht="13.2" x14ac:dyDescent="0.25"/>
    <row r="844" ht="13.2" x14ac:dyDescent="0.25"/>
    <row r="845" ht="13.2" x14ac:dyDescent="0.25"/>
    <row r="846" ht="13.2" x14ac:dyDescent="0.25"/>
    <row r="847" ht="13.2" x14ac:dyDescent="0.25"/>
    <row r="848" ht="13.2" x14ac:dyDescent="0.25"/>
    <row r="849" ht="13.2" x14ac:dyDescent="0.25"/>
    <row r="850" ht="13.2" x14ac:dyDescent="0.25"/>
    <row r="851" ht="13.2" x14ac:dyDescent="0.25"/>
    <row r="852" ht="13.2" x14ac:dyDescent="0.25"/>
    <row r="853" ht="13.2" x14ac:dyDescent="0.25"/>
    <row r="854" ht="13.2" x14ac:dyDescent="0.25"/>
    <row r="855" ht="13.2" x14ac:dyDescent="0.25"/>
    <row r="856" ht="13.2" x14ac:dyDescent="0.25"/>
    <row r="857" ht="13.2" x14ac:dyDescent="0.25"/>
    <row r="858" ht="13.2" x14ac:dyDescent="0.25"/>
    <row r="859" ht="13.2" x14ac:dyDescent="0.25"/>
    <row r="860" ht="13.2" x14ac:dyDescent="0.25"/>
    <row r="861" ht="13.2" x14ac:dyDescent="0.25"/>
    <row r="862" ht="13.2" x14ac:dyDescent="0.25"/>
    <row r="863" ht="13.2" x14ac:dyDescent="0.25"/>
    <row r="864" ht="13.2" x14ac:dyDescent="0.25"/>
    <row r="865" ht="13.2" x14ac:dyDescent="0.25"/>
    <row r="866" ht="13.2" x14ac:dyDescent="0.25"/>
    <row r="867" ht="13.2" x14ac:dyDescent="0.25"/>
    <row r="868" ht="13.2" x14ac:dyDescent="0.25"/>
    <row r="869" ht="13.2" x14ac:dyDescent="0.25"/>
    <row r="870" ht="13.2" x14ac:dyDescent="0.25"/>
    <row r="871" ht="13.2" x14ac:dyDescent="0.25"/>
    <row r="872" ht="13.2" x14ac:dyDescent="0.25"/>
    <row r="873" ht="13.2" x14ac:dyDescent="0.25"/>
    <row r="874" ht="13.2" x14ac:dyDescent="0.25"/>
    <row r="875" ht="13.2" x14ac:dyDescent="0.25"/>
    <row r="876" ht="13.2" x14ac:dyDescent="0.25"/>
    <row r="877" ht="13.2" x14ac:dyDescent="0.25"/>
    <row r="878" ht="13.2" x14ac:dyDescent="0.25"/>
    <row r="879" ht="13.2" x14ac:dyDescent="0.25"/>
    <row r="880" ht="13.2" x14ac:dyDescent="0.25"/>
    <row r="881" ht="13.2" x14ac:dyDescent="0.25"/>
    <row r="882" ht="13.2" x14ac:dyDescent="0.25"/>
    <row r="883" ht="13.2" x14ac:dyDescent="0.25"/>
    <row r="884" ht="13.2" x14ac:dyDescent="0.25"/>
    <row r="885" ht="13.2" x14ac:dyDescent="0.25"/>
    <row r="886" ht="13.2" x14ac:dyDescent="0.25"/>
    <row r="887" ht="13.2" x14ac:dyDescent="0.25"/>
    <row r="888" ht="13.2" x14ac:dyDescent="0.25"/>
    <row r="889" ht="13.2" x14ac:dyDescent="0.25"/>
    <row r="890" ht="13.2" x14ac:dyDescent="0.25"/>
    <row r="891" ht="13.2" x14ac:dyDescent="0.25"/>
    <row r="892" ht="13.2" x14ac:dyDescent="0.25"/>
    <row r="893" ht="13.2" x14ac:dyDescent="0.25"/>
    <row r="894" ht="13.2" x14ac:dyDescent="0.25"/>
    <row r="895" ht="13.2" x14ac:dyDescent="0.25"/>
    <row r="896" ht="13.2" x14ac:dyDescent="0.25"/>
    <row r="897" ht="13.2" x14ac:dyDescent="0.25"/>
    <row r="898" ht="13.2" x14ac:dyDescent="0.25"/>
    <row r="899" ht="13.2" x14ac:dyDescent="0.25"/>
    <row r="900" ht="13.2" x14ac:dyDescent="0.25"/>
    <row r="901" ht="13.2" x14ac:dyDescent="0.25"/>
    <row r="902" ht="13.2" x14ac:dyDescent="0.25"/>
    <row r="903" ht="13.2" x14ac:dyDescent="0.25"/>
    <row r="904" ht="13.2" x14ac:dyDescent="0.25"/>
    <row r="905" ht="13.2" x14ac:dyDescent="0.25"/>
    <row r="906" ht="13.2" x14ac:dyDescent="0.25"/>
    <row r="907" ht="13.2" x14ac:dyDescent="0.25"/>
    <row r="908" ht="13.2" x14ac:dyDescent="0.25"/>
    <row r="909" ht="13.2" x14ac:dyDescent="0.25"/>
    <row r="910" ht="13.2" x14ac:dyDescent="0.25"/>
    <row r="911" ht="13.2" x14ac:dyDescent="0.25"/>
    <row r="912" ht="13.2" x14ac:dyDescent="0.25"/>
    <row r="913" ht="13.2" x14ac:dyDescent="0.25"/>
    <row r="914" ht="13.2" x14ac:dyDescent="0.25"/>
    <row r="915" ht="13.2" x14ac:dyDescent="0.25"/>
    <row r="916" ht="13.2" x14ac:dyDescent="0.25"/>
    <row r="917" ht="13.2" x14ac:dyDescent="0.25"/>
    <row r="918" ht="13.2" x14ac:dyDescent="0.25"/>
    <row r="919" ht="13.2" x14ac:dyDescent="0.25"/>
    <row r="920" ht="13.2" x14ac:dyDescent="0.25"/>
    <row r="921" ht="13.2" x14ac:dyDescent="0.25"/>
    <row r="922" ht="13.2" x14ac:dyDescent="0.25"/>
    <row r="923" ht="13.2" x14ac:dyDescent="0.25"/>
    <row r="924" ht="13.2" x14ac:dyDescent="0.25"/>
    <row r="925" ht="13.2" x14ac:dyDescent="0.25"/>
    <row r="926" ht="13.2" x14ac:dyDescent="0.25"/>
    <row r="927" ht="13.2" x14ac:dyDescent="0.25"/>
    <row r="928" ht="13.2" x14ac:dyDescent="0.25"/>
    <row r="929" ht="13.2" x14ac:dyDescent="0.25"/>
    <row r="930" ht="13.2" x14ac:dyDescent="0.25"/>
    <row r="931" ht="13.2" x14ac:dyDescent="0.25"/>
    <row r="932" ht="13.2" x14ac:dyDescent="0.25"/>
    <row r="933" ht="13.2" x14ac:dyDescent="0.25"/>
    <row r="934" ht="13.2" x14ac:dyDescent="0.25"/>
    <row r="935" ht="13.2" x14ac:dyDescent="0.25"/>
    <row r="936" ht="13.2" x14ac:dyDescent="0.25"/>
    <row r="937" ht="13.2" x14ac:dyDescent="0.25"/>
    <row r="938" ht="13.2" x14ac:dyDescent="0.25"/>
    <row r="939" ht="13.2" x14ac:dyDescent="0.25"/>
    <row r="940" ht="13.2" x14ac:dyDescent="0.25"/>
    <row r="941" ht="13.2" x14ac:dyDescent="0.25"/>
    <row r="942" ht="13.2" x14ac:dyDescent="0.25"/>
    <row r="943" ht="13.2" x14ac:dyDescent="0.25"/>
    <row r="944" ht="13.2" x14ac:dyDescent="0.25"/>
    <row r="945" ht="13.2" x14ac:dyDescent="0.25"/>
    <row r="946" ht="13.2" x14ac:dyDescent="0.25"/>
    <row r="947" ht="13.2" x14ac:dyDescent="0.25"/>
    <row r="948" ht="13.2" x14ac:dyDescent="0.25"/>
    <row r="949" ht="13.2" x14ac:dyDescent="0.25"/>
    <row r="950" ht="13.2" x14ac:dyDescent="0.25"/>
    <row r="951" ht="13.2" x14ac:dyDescent="0.25"/>
    <row r="952" ht="13.2" x14ac:dyDescent="0.25"/>
    <row r="953" ht="13.2" x14ac:dyDescent="0.25"/>
    <row r="954" ht="13.2" x14ac:dyDescent="0.25"/>
    <row r="955" ht="13.2" x14ac:dyDescent="0.25"/>
    <row r="956" ht="13.2" x14ac:dyDescent="0.25"/>
    <row r="957" ht="13.2" x14ac:dyDescent="0.25"/>
    <row r="958" ht="13.2" x14ac:dyDescent="0.25"/>
    <row r="959" ht="13.2" x14ac:dyDescent="0.25"/>
    <row r="960" ht="13.2" x14ac:dyDescent="0.25"/>
    <row r="961" ht="13.2" x14ac:dyDescent="0.25"/>
    <row r="962" ht="13.2" x14ac:dyDescent="0.25"/>
    <row r="963" ht="13.2" x14ac:dyDescent="0.25"/>
    <row r="964" ht="13.2" x14ac:dyDescent="0.25"/>
    <row r="965" ht="13.2" x14ac:dyDescent="0.25"/>
    <row r="966" ht="13.2" x14ac:dyDescent="0.25"/>
    <row r="967" ht="13.2" x14ac:dyDescent="0.25"/>
    <row r="968" ht="13.2" x14ac:dyDescent="0.25"/>
    <row r="969" ht="13.2" x14ac:dyDescent="0.25"/>
    <row r="970" ht="13.2" x14ac:dyDescent="0.25"/>
    <row r="971" ht="13.2" x14ac:dyDescent="0.25"/>
    <row r="972" ht="13.2" x14ac:dyDescent="0.25"/>
    <row r="973" ht="13.2" x14ac:dyDescent="0.25"/>
    <row r="974" ht="13.2" x14ac:dyDescent="0.25"/>
    <row r="975" ht="13.2" x14ac:dyDescent="0.25"/>
    <row r="976" ht="13.2" x14ac:dyDescent="0.25"/>
    <row r="977" ht="13.2" x14ac:dyDescent="0.25"/>
    <row r="978" ht="13.2" x14ac:dyDescent="0.25"/>
    <row r="979" ht="13.2" x14ac:dyDescent="0.25"/>
    <row r="980" ht="13.2" x14ac:dyDescent="0.25"/>
    <row r="981" ht="13.2" x14ac:dyDescent="0.25"/>
    <row r="982" ht="13.2" x14ac:dyDescent="0.25"/>
    <row r="983" ht="13.2" x14ac:dyDescent="0.25"/>
    <row r="984" ht="13.2" x14ac:dyDescent="0.25"/>
    <row r="985" ht="13.2" x14ac:dyDescent="0.25"/>
    <row r="986" ht="13.2" x14ac:dyDescent="0.25"/>
    <row r="987" ht="13.2" x14ac:dyDescent="0.25"/>
    <row r="988" ht="13.2" x14ac:dyDescent="0.25"/>
    <row r="989" ht="13.2" x14ac:dyDescent="0.25"/>
    <row r="990" ht="13.2" x14ac:dyDescent="0.25"/>
    <row r="991" ht="13.2" x14ac:dyDescent="0.25"/>
    <row r="992" ht="13.2" x14ac:dyDescent="0.25"/>
    <row r="993" ht="13.2" x14ac:dyDescent="0.25"/>
    <row r="994" ht="13.2" x14ac:dyDescent="0.25"/>
    <row r="995" ht="13.2" x14ac:dyDescent="0.25"/>
    <row r="996" ht="13.2" x14ac:dyDescent="0.25"/>
    <row r="997" ht="13.2" x14ac:dyDescent="0.25"/>
    <row r="998" ht="13.2" x14ac:dyDescent="0.25"/>
    <row r="999" ht="13.2" x14ac:dyDescent="0.25"/>
    <row r="1000" ht="13.2" x14ac:dyDescent="0.25"/>
  </sheetData>
  <pageMargins left="0.7" right="0.7" top="0.75" bottom="0.75" header="0" footer="0"/>
  <pageSetup orientation="portrait"/>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DBE5F1"/>
    <pageSetUpPr fitToPage="1"/>
  </sheetPr>
  <dimension ref="A1:Z1001"/>
  <sheetViews>
    <sheetView showGridLines="0" workbookViewId="0">
      <pane ySplit="6" topLeftCell="A7" activePane="bottomLeft" state="frozen"/>
      <selection pane="bottomLeft" activeCell="B8" sqref="B8"/>
    </sheetView>
  </sheetViews>
  <sheetFormatPr defaultColWidth="12.6640625" defaultRowHeight="15.75" customHeight="1" x14ac:dyDescent="0.25"/>
  <cols>
    <col min="1" max="1" width="2.109375" customWidth="1"/>
    <col min="2" max="2" width="26.88671875" customWidth="1"/>
    <col min="3" max="3" width="10.77734375" customWidth="1"/>
    <col min="4" max="10" width="8.88671875" customWidth="1"/>
    <col min="11" max="16" width="9.6640625" customWidth="1"/>
    <col min="17" max="17" width="2.109375" customWidth="1"/>
    <col min="18" max="26" width="6.88671875" customWidth="1"/>
  </cols>
  <sheetData>
    <row r="1" spans="1:26" ht="22.5" customHeight="1" x14ac:dyDescent="0.55000000000000004">
      <c r="A1" s="176"/>
      <c r="B1" s="345" t="s">
        <v>645</v>
      </c>
      <c r="C1" s="297"/>
      <c r="D1" s="297"/>
      <c r="E1" s="297"/>
      <c r="F1" s="297"/>
      <c r="G1" s="297"/>
      <c r="H1" s="297"/>
      <c r="I1" s="297"/>
      <c r="J1" s="297"/>
      <c r="K1" s="297"/>
      <c r="L1" s="297"/>
      <c r="M1" s="297"/>
      <c r="N1" s="297"/>
      <c r="O1" s="297"/>
      <c r="P1" s="297"/>
      <c r="Q1" s="176"/>
      <c r="R1" s="176"/>
      <c r="S1" s="176"/>
      <c r="T1" s="176"/>
      <c r="U1" s="176"/>
      <c r="V1" s="176"/>
      <c r="W1" s="176"/>
      <c r="X1" s="176"/>
      <c r="Y1" s="176"/>
      <c r="Z1" s="176"/>
    </row>
    <row r="2" spans="1:26" ht="24.75" customHeight="1" x14ac:dyDescent="0.55000000000000004">
      <c r="A2" s="176"/>
      <c r="B2" s="345" t="s">
        <v>646</v>
      </c>
      <c r="C2" s="297"/>
      <c r="D2" s="297"/>
      <c r="E2" s="297"/>
      <c r="F2" s="297"/>
      <c r="G2" s="297"/>
      <c r="H2" s="297"/>
      <c r="I2" s="297"/>
      <c r="J2" s="297"/>
      <c r="K2" s="297"/>
      <c r="L2" s="297"/>
      <c r="M2" s="297"/>
      <c r="N2" s="297"/>
      <c r="O2" s="297"/>
      <c r="P2" s="297"/>
      <c r="Q2" s="176"/>
      <c r="R2" s="176"/>
      <c r="S2" s="176"/>
      <c r="T2" s="176"/>
      <c r="U2" s="176"/>
      <c r="V2" s="176"/>
      <c r="W2" s="176"/>
      <c r="X2" s="176"/>
      <c r="Y2" s="176"/>
      <c r="Z2" s="176"/>
    </row>
    <row r="3" spans="1:26" ht="16.5" customHeight="1" x14ac:dyDescent="0.25">
      <c r="A3" s="176"/>
      <c r="B3" s="228" t="s">
        <v>647</v>
      </c>
      <c r="C3" s="229">
        <v>45240</v>
      </c>
      <c r="D3" s="176"/>
      <c r="E3" s="176"/>
      <c r="F3" s="176"/>
      <c r="G3" s="176"/>
      <c r="H3" s="176"/>
      <c r="I3" s="176"/>
      <c r="J3" s="176"/>
      <c r="K3" s="176"/>
      <c r="L3" s="176"/>
      <c r="M3" s="176"/>
      <c r="N3" s="176"/>
      <c r="O3" s="176"/>
      <c r="P3" s="176"/>
      <c r="Q3" s="176"/>
      <c r="R3" s="176"/>
      <c r="S3" s="176"/>
      <c r="T3" s="176"/>
      <c r="U3" s="176"/>
      <c r="V3" s="176"/>
      <c r="W3" s="176"/>
      <c r="X3" s="176"/>
      <c r="Y3" s="176"/>
      <c r="Z3" s="176"/>
    </row>
    <row r="4" spans="1:26" ht="16.5" customHeight="1" x14ac:dyDescent="0.25">
      <c r="A4" s="176"/>
      <c r="B4" s="228" t="s">
        <v>648</v>
      </c>
      <c r="C4" s="230">
        <f>C7</f>
        <v>0</v>
      </c>
      <c r="D4" s="231"/>
      <c r="E4" s="232">
        <f>'BONUS Cashflow Tracker (Monthly'!Cash_minimum</f>
        <v>0</v>
      </c>
      <c r="F4" s="232">
        <f>'BONUS Cashflow Tracker (Monthly'!Cash_minimum</f>
        <v>0</v>
      </c>
      <c r="G4" s="232">
        <f>'BONUS Cashflow Tracker (Monthly'!Cash_minimum</f>
        <v>0</v>
      </c>
      <c r="H4" s="232">
        <f>'BONUS Cashflow Tracker (Monthly'!Cash_minimum</f>
        <v>0</v>
      </c>
      <c r="I4" s="232">
        <f>'BONUS Cashflow Tracker (Monthly'!Cash_minimum</f>
        <v>0</v>
      </c>
      <c r="J4" s="232">
        <f>'BONUS Cashflow Tracker (Monthly'!Cash_minimum</f>
        <v>0</v>
      </c>
      <c r="K4" s="232">
        <f>'BONUS Cashflow Tracker (Monthly'!Cash_minimum</f>
        <v>0</v>
      </c>
      <c r="L4" s="232">
        <f>'BONUS Cashflow Tracker (Monthly'!Cash_minimum</f>
        <v>0</v>
      </c>
      <c r="M4" s="232">
        <f>'BONUS Cashflow Tracker (Monthly'!Cash_minimum</f>
        <v>0</v>
      </c>
      <c r="N4" s="232">
        <f>'BONUS Cashflow Tracker (Monthly'!Cash_minimum</f>
        <v>0</v>
      </c>
      <c r="O4" s="232">
        <f>'BONUS Cashflow Tracker (Monthly'!Cash_minimum</f>
        <v>0</v>
      </c>
      <c r="P4" s="176"/>
      <c r="Q4" s="176"/>
      <c r="R4" s="176"/>
      <c r="S4" s="176"/>
      <c r="T4" s="176"/>
      <c r="U4" s="176"/>
      <c r="V4" s="176"/>
      <c r="W4" s="176"/>
      <c r="X4" s="176"/>
      <c r="Y4" s="176"/>
      <c r="Z4" s="176"/>
    </row>
    <row r="5" spans="1:26" ht="16.5" customHeight="1" x14ac:dyDescent="0.25">
      <c r="A5" s="176"/>
      <c r="B5" s="228"/>
      <c r="C5" s="176"/>
      <c r="D5" s="176"/>
      <c r="E5" s="176"/>
      <c r="F5" s="176"/>
      <c r="G5" s="176"/>
      <c r="H5" s="233"/>
      <c r="I5" s="176"/>
      <c r="J5" s="176"/>
      <c r="K5" s="176"/>
      <c r="L5" s="176"/>
      <c r="M5" s="176"/>
      <c r="N5" s="176"/>
      <c r="O5" s="176"/>
      <c r="P5" s="176"/>
      <c r="Q5" s="176"/>
      <c r="R5" s="176"/>
      <c r="S5" s="176"/>
      <c r="T5" s="176"/>
      <c r="U5" s="176"/>
      <c r="V5" s="176"/>
      <c r="W5" s="176"/>
      <c r="X5" s="176"/>
      <c r="Y5" s="176"/>
      <c r="Z5" s="176"/>
    </row>
    <row r="6" spans="1:26" ht="16.5" customHeight="1" x14ac:dyDescent="0.25">
      <c r="A6" s="210"/>
      <c r="B6" s="234"/>
      <c r="C6" s="235" t="s">
        <v>649</v>
      </c>
      <c r="D6" s="236">
        <v>45322</v>
      </c>
      <c r="E6" s="236">
        <v>45323</v>
      </c>
      <c r="F6" s="236">
        <v>45352</v>
      </c>
      <c r="G6" s="236">
        <v>45383</v>
      </c>
      <c r="H6" s="236">
        <v>45413</v>
      </c>
      <c r="I6" s="236">
        <v>45444</v>
      </c>
      <c r="J6" s="236">
        <v>45474</v>
      </c>
      <c r="K6" s="236">
        <v>45505</v>
      </c>
      <c r="L6" s="236">
        <v>45536</v>
      </c>
      <c r="M6" s="236">
        <v>45566</v>
      </c>
      <c r="N6" s="236">
        <v>45597</v>
      </c>
      <c r="O6" s="236">
        <v>45627</v>
      </c>
      <c r="P6" s="237" t="s">
        <v>650</v>
      </c>
      <c r="Q6" s="210"/>
      <c r="R6" s="210"/>
      <c r="S6" s="210"/>
      <c r="T6" s="210"/>
      <c r="U6" s="210"/>
      <c r="V6" s="210"/>
      <c r="W6" s="210"/>
      <c r="X6" s="210"/>
      <c r="Y6" s="210"/>
      <c r="Z6" s="210"/>
    </row>
    <row r="7" spans="1:26" ht="24.75" customHeight="1" x14ac:dyDescent="0.25">
      <c r="A7" s="210"/>
      <c r="B7" s="194" t="s">
        <v>651</v>
      </c>
      <c r="C7" s="238">
        <v>0</v>
      </c>
      <c r="D7" s="239">
        <f t="shared" ref="D7:O7" si="0">C54</f>
        <v>0</v>
      </c>
      <c r="E7" s="239">
        <f t="shared" si="0"/>
        <v>0</v>
      </c>
      <c r="F7" s="239">
        <f t="shared" si="0"/>
        <v>0</v>
      </c>
      <c r="G7" s="239">
        <f t="shared" si="0"/>
        <v>0</v>
      </c>
      <c r="H7" s="239">
        <f t="shared" si="0"/>
        <v>0</v>
      </c>
      <c r="I7" s="239">
        <f t="shared" si="0"/>
        <v>0</v>
      </c>
      <c r="J7" s="239">
        <f t="shared" si="0"/>
        <v>0</v>
      </c>
      <c r="K7" s="239">
        <f t="shared" si="0"/>
        <v>0</v>
      </c>
      <c r="L7" s="239">
        <f t="shared" si="0"/>
        <v>0</v>
      </c>
      <c r="M7" s="239">
        <f t="shared" si="0"/>
        <v>0</v>
      </c>
      <c r="N7" s="239">
        <f t="shared" si="0"/>
        <v>0</v>
      </c>
      <c r="O7" s="239">
        <f t="shared" si="0"/>
        <v>0</v>
      </c>
      <c r="P7" s="240">
        <f>SUM(C7:O7)</f>
        <v>0</v>
      </c>
      <c r="Q7" s="210"/>
      <c r="R7" s="210"/>
      <c r="S7" s="210"/>
      <c r="T7" s="210"/>
      <c r="U7" s="210"/>
      <c r="V7" s="210"/>
      <c r="W7" s="210"/>
      <c r="X7" s="210"/>
      <c r="Y7" s="210"/>
      <c r="Z7" s="210"/>
    </row>
    <row r="8" spans="1:26" ht="16.5" customHeight="1" x14ac:dyDescent="0.25">
      <c r="A8" s="210"/>
      <c r="B8" s="241"/>
      <c r="C8" s="242"/>
      <c r="D8" s="242"/>
      <c r="E8" s="242"/>
      <c r="F8" s="242"/>
      <c r="G8" s="242"/>
      <c r="H8" s="242"/>
      <c r="I8" s="242"/>
      <c r="J8" s="242"/>
      <c r="K8" s="242"/>
      <c r="L8" s="242"/>
      <c r="M8" s="242"/>
      <c r="N8" s="242"/>
      <c r="O8" s="242"/>
      <c r="P8" s="242"/>
      <c r="Q8" s="210"/>
      <c r="R8" s="210"/>
      <c r="S8" s="210"/>
      <c r="T8" s="210"/>
      <c r="U8" s="210"/>
      <c r="V8" s="210"/>
      <c r="W8" s="210"/>
      <c r="X8" s="210"/>
      <c r="Y8" s="210"/>
      <c r="Z8" s="210"/>
    </row>
    <row r="9" spans="1:26" ht="16.5" customHeight="1" x14ac:dyDescent="0.25">
      <c r="A9" s="210"/>
      <c r="B9" s="243" t="s">
        <v>603</v>
      </c>
      <c r="C9" s="244" t="s">
        <v>652</v>
      </c>
      <c r="D9" s="236">
        <f t="shared" ref="D9:O9" si="1">D6</f>
        <v>45322</v>
      </c>
      <c r="E9" s="236">
        <f t="shared" si="1"/>
        <v>45323</v>
      </c>
      <c r="F9" s="236">
        <f t="shared" si="1"/>
        <v>45352</v>
      </c>
      <c r="G9" s="236">
        <f t="shared" si="1"/>
        <v>45383</v>
      </c>
      <c r="H9" s="236">
        <f t="shared" si="1"/>
        <v>45413</v>
      </c>
      <c r="I9" s="236">
        <f t="shared" si="1"/>
        <v>45444</v>
      </c>
      <c r="J9" s="236">
        <f t="shared" si="1"/>
        <v>45474</v>
      </c>
      <c r="K9" s="236">
        <f t="shared" si="1"/>
        <v>45505</v>
      </c>
      <c r="L9" s="236">
        <f t="shared" si="1"/>
        <v>45536</v>
      </c>
      <c r="M9" s="236">
        <f t="shared" si="1"/>
        <v>45566</v>
      </c>
      <c r="N9" s="236">
        <f t="shared" si="1"/>
        <v>45597</v>
      </c>
      <c r="O9" s="236">
        <f t="shared" si="1"/>
        <v>45627</v>
      </c>
      <c r="P9" s="245" t="s">
        <v>650</v>
      </c>
      <c r="Q9" s="210"/>
      <c r="R9" s="210"/>
      <c r="S9" s="210"/>
      <c r="T9" s="210"/>
      <c r="U9" s="210"/>
      <c r="V9" s="210"/>
      <c r="W9" s="210"/>
      <c r="X9" s="210"/>
      <c r="Y9" s="210"/>
      <c r="Z9" s="210"/>
    </row>
    <row r="10" spans="1:26" ht="16.5" customHeight="1" x14ac:dyDescent="0.25">
      <c r="A10" s="210"/>
      <c r="B10" s="246" t="s">
        <v>604</v>
      </c>
      <c r="C10" s="247"/>
      <c r="D10" s="248"/>
      <c r="E10" s="248"/>
      <c r="F10" s="248"/>
      <c r="G10" s="248"/>
      <c r="H10" s="248"/>
      <c r="I10" s="248"/>
      <c r="J10" s="248"/>
      <c r="K10" s="248"/>
      <c r="L10" s="248"/>
      <c r="M10" s="248"/>
      <c r="N10" s="248"/>
      <c r="O10" s="248"/>
      <c r="P10" s="249">
        <f t="shared" ref="P10:P17" si="2">SUM(D10:O10)</f>
        <v>0</v>
      </c>
      <c r="Q10" s="210"/>
      <c r="R10" s="210"/>
      <c r="S10" s="210"/>
      <c r="T10" s="210"/>
      <c r="U10" s="210"/>
      <c r="V10" s="210"/>
      <c r="W10" s="210"/>
      <c r="X10" s="210"/>
      <c r="Y10" s="210"/>
      <c r="Z10" s="210"/>
    </row>
    <row r="11" spans="1:26" ht="16.5" customHeight="1" x14ac:dyDescent="0.25">
      <c r="A11" s="210"/>
      <c r="B11" s="246" t="s">
        <v>605</v>
      </c>
      <c r="C11" s="247"/>
      <c r="D11" s="248"/>
      <c r="E11" s="248"/>
      <c r="F11" s="248"/>
      <c r="G11" s="248"/>
      <c r="H11" s="248"/>
      <c r="I11" s="248"/>
      <c r="J11" s="248"/>
      <c r="K11" s="248"/>
      <c r="L11" s="248"/>
      <c r="M11" s="248"/>
      <c r="N11" s="248"/>
      <c r="O11" s="248"/>
      <c r="P11" s="249">
        <f t="shared" si="2"/>
        <v>0</v>
      </c>
      <c r="Q11" s="210"/>
      <c r="R11" s="210"/>
      <c r="S11" s="210"/>
      <c r="T11" s="210"/>
      <c r="U11" s="210"/>
      <c r="V11" s="210"/>
      <c r="W11" s="210"/>
      <c r="X11" s="210"/>
      <c r="Y11" s="210"/>
      <c r="Z11" s="210"/>
    </row>
    <row r="12" spans="1:26" ht="16.5" customHeight="1" x14ac:dyDescent="0.25">
      <c r="A12" s="210"/>
      <c r="B12" s="246" t="s">
        <v>606</v>
      </c>
      <c r="C12" s="247"/>
      <c r="D12" s="250"/>
      <c r="E12" s="250"/>
      <c r="F12" s="250"/>
      <c r="G12" s="250"/>
      <c r="H12" s="250"/>
      <c r="I12" s="250"/>
      <c r="J12" s="250"/>
      <c r="K12" s="250"/>
      <c r="L12" s="250"/>
      <c r="M12" s="250"/>
      <c r="N12" s="250"/>
      <c r="O12" s="250"/>
      <c r="P12" s="249">
        <f t="shared" si="2"/>
        <v>0</v>
      </c>
      <c r="Q12" s="210"/>
      <c r="R12" s="210"/>
      <c r="S12" s="210"/>
      <c r="T12" s="210"/>
      <c r="U12" s="210"/>
      <c r="V12" s="210"/>
      <c r="W12" s="210"/>
      <c r="X12" s="210"/>
      <c r="Y12" s="210"/>
      <c r="Z12" s="210"/>
    </row>
    <row r="13" spans="1:26" ht="16.5" customHeight="1" x14ac:dyDescent="0.25">
      <c r="A13" s="210"/>
      <c r="B13" s="246" t="s">
        <v>607</v>
      </c>
      <c r="C13" s="247"/>
      <c r="D13" s="250"/>
      <c r="E13" s="250"/>
      <c r="F13" s="250"/>
      <c r="G13" s="250"/>
      <c r="H13" s="250"/>
      <c r="I13" s="250"/>
      <c r="J13" s="250"/>
      <c r="K13" s="250"/>
      <c r="L13" s="250"/>
      <c r="M13" s="250"/>
      <c r="N13" s="250"/>
      <c r="O13" s="250"/>
      <c r="P13" s="249">
        <f t="shared" si="2"/>
        <v>0</v>
      </c>
      <c r="Q13" s="210"/>
      <c r="R13" s="210"/>
      <c r="S13" s="210"/>
      <c r="T13" s="210"/>
      <c r="U13" s="210"/>
      <c r="V13" s="210"/>
      <c r="W13" s="210"/>
      <c r="X13" s="210"/>
      <c r="Y13" s="210"/>
      <c r="Z13" s="210"/>
    </row>
    <row r="14" spans="1:26" ht="16.5" customHeight="1" x14ac:dyDescent="0.25">
      <c r="A14" s="210"/>
      <c r="B14" s="246" t="s">
        <v>608</v>
      </c>
      <c r="C14" s="247"/>
      <c r="D14" s="250"/>
      <c r="E14" s="250"/>
      <c r="F14" s="250"/>
      <c r="G14" s="250"/>
      <c r="H14" s="250"/>
      <c r="I14" s="250"/>
      <c r="J14" s="250"/>
      <c r="K14" s="250"/>
      <c r="L14" s="250"/>
      <c r="M14" s="250"/>
      <c r="N14" s="250"/>
      <c r="O14" s="250"/>
      <c r="P14" s="249">
        <f t="shared" si="2"/>
        <v>0</v>
      </c>
      <c r="Q14" s="210"/>
      <c r="R14" s="210"/>
      <c r="S14" s="210"/>
      <c r="T14" s="210"/>
      <c r="U14" s="210"/>
      <c r="V14" s="210"/>
      <c r="W14" s="210"/>
      <c r="X14" s="210"/>
      <c r="Y14" s="210"/>
      <c r="Z14" s="210"/>
    </row>
    <row r="15" spans="1:26" ht="16.5" customHeight="1" x14ac:dyDescent="0.25">
      <c r="A15" s="210"/>
      <c r="B15" s="246" t="s">
        <v>609</v>
      </c>
      <c r="C15" s="247"/>
      <c r="D15" s="250"/>
      <c r="E15" s="250"/>
      <c r="F15" s="250"/>
      <c r="G15" s="250"/>
      <c r="H15" s="250"/>
      <c r="I15" s="250"/>
      <c r="J15" s="250"/>
      <c r="K15" s="250"/>
      <c r="L15" s="250"/>
      <c r="M15" s="250"/>
      <c r="N15" s="250"/>
      <c r="O15" s="250"/>
      <c r="P15" s="249">
        <f t="shared" si="2"/>
        <v>0</v>
      </c>
      <c r="Q15" s="210"/>
      <c r="R15" s="210"/>
      <c r="S15" s="210"/>
      <c r="T15" s="210"/>
      <c r="U15" s="210"/>
      <c r="V15" s="210"/>
      <c r="W15" s="210"/>
      <c r="X15" s="210"/>
      <c r="Y15" s="210"/>
      <c r="Z15" s="210"/>
    </row>
    <row r="16" spans="1:26" ht="16.5" customHeight="1" x14ac:dyDescent="0.25">
      <c r="A16" s="210"/>
      <c r="B16" s="251" t="s">
        <v>610</v>
      </c>
      <c r="C16" s="252"/>
      <c r="D16" s="253">
        <f t="shared" ref="D16:O16" si="3">SUM(D10,D12:D15,(D11*-1))</f>
        <v>0</v>
      </c>
      <c r="E16" s="253">
        <f t="shared" si="3"/>
        <v>0</v>
      </c>
      <c r="F16" s="250">
        <f t="shared" si="3"/>
        <v>0</v>
      </c>
      <c r="G16" s="250">
        <f t="shared" si="3"/>
        <v>0</v>
      </c>
      <c r="H16" s="250">
        <f t="shared" si="3"/>
        <v>0</v>
      </c>
      <c r="I16" s="250">
        <f t="shared" si="3"/>
        <v>0</v>
      </c>
      <c r="J16" s="250">
        <f t="shared" si="3"/>
        <v>0</v>
      </c>
      <c r="K16" s="250">
        <f t="shared" si="3"/>
        <v>0</v>
      </c>
      <c r="L16" s="250">
        <f t="shared" si="3"/>
        <v>0</v>
      </c>
      <c r="M16" s="250">
        <f t="shared" si="3"/>
        <v>0</v>
      </c>
      <c r="N16" s="250">
        <f t="shared" si="3"/>
        <v>0</v>
      </c>
      <c r="O16" s="250">
        <f t="shared" si="3"/>
        <v>0</v>
      </c>
      <c r="P16" s="254">
        <f t="shared" si="2"/>
        <v>0</v>
      </c>
      <c r="Q16" s="210"/>
      <c r="R16" s="210"/>
      <c r="S16" s="210"/>
      <c r="T16" s="210"/>
      <c r="U16" s="210"/>
      <c r="V16" s="210"/>
      <c r="W16" s="210"/>
      <c r="X16" s="210"/>
      <c r="Y16" s="210"/>
      <c r="Z16" s="210"/>
    </row>
    <row r="17" spans="1:26" ht="16.5" customHeight="1" x14ac:dyDescent="0.25">
      <c r="A17" s="210"/>
      <c r="B17" s="255" t="s">
        <v>611</v>
      </c>
      <c r="C17" s="256">
        <f>(C7+'BONUS Cashflow Tracker (Monthly'!$C$16)</f>
        <v>0</v>
      </c>
      <c r="D17" s="257">
        <f>(D7+'BONUS Cashflow Tracker (Monthly'!$D$16)</f>
        <v>0</v>
      </c>
      <c r="E17" s="257">
        <f>(E7+'BONUS Cashflow Tracker (Monthly'!$E$16)</f>
        <v>0</v>
      </c>
      <c r="F17" s="257">
        <f>(F7+'BONUS Cashflow Tracker (Monthly'!$F$16)</f>
        <v>0</v>
      </c>
      <c r="G17" s="257">
        <f>(G7+'BONUS Cashflow Tracker (Monthly'!$G$16)</f>
        <v>0</v>
      </c>
      <c r="H17" s="257">
        <f>(H7+'BONUS Cashflow Tracker (Monthly'!$H$16)</f>
        <v>0</v>
      </c>
      <c r="I17" s="257">
        <f>(I7+'BONUS Cashflow Tracker (Monthly'!$I$16)</f>
        <v>0</v>
      </c>
      <c r="J17" s="257">
        <f>(J7+'BONUS Cashflow Tracker (Monthly'!$J$16)</f>
        <v>0</v>
      </c>
      <c r="K17" s="257">
        <f>(K7+'BONUS Cashflow Tracker (Monthly'!$K$16)</f>
        <v>0</v>
      </c>
      <c r="L17" s="257">
        <f>(L7+'BONUS Cashflow Tracker (Monthly'!$L$16)</f>
        <v>0</v>
      </c>
      <c r="M17" s="257">
        <f>(M7+'BONUS Cashflow Tracker (Monthly'!$M$16)</f>
        <v>0</v>
      </c>
      <c r="N17" s="257">
        <f>(N7+'BONUS Cashflow Tracker (Monthly'!$N$16)</f>
        <v>0</v>
      </c>
      <c r="O17" s="257">
        <f>(O7+'BONUS Cashflow Tracker (Monthly'!$O$16)</f>
        <v>0</v>
      </c>
      <c r="P17" s="258">
        <f t="shared" si="2"/>
        <v>0</v>
      </c>
      <c r="Q17" s="210"/>
      <c r="R17" s="210"/>
      <c r="S17" s="210"/>
      <c r="T17" s="210"/>
      <c r="U17" s="210"/>
      <c r="V17" s="210"/>
      <c r="W17" s="210"/>
      <c r="X17" s="210"/>
      <c r="Y17" s="210"/>
      <c r="Z17" s="210"/>
    </row>
    <row r="18" spans="1:26" ht="16.5" customHeight="1" x14ac:dyDescent="0.25">
      <c r="A18" s="210"/>
      <c r="B18" s="211"/>
      <c r="C18" s="259"/>
      <c r="D18" s="259"/>
      <c r="E18" s="259"/>
      <c r="F18" s="259"/>
      <c r="G18" s="259"/>
      <c r="H18" s="259"/>
      <c r="I18" s="259"/>
      <c r="J18" s="259"/>
      <c r="K18" s="259"/>
      <c r="L18" s="259"/>
      <c r="M18" s="259"/>
      <c r="N18" s="259"/>
      <c r="O18" s="259"/>
      <c r="P18" s="260"/>
      <c r="Q18" s="210"/>
      <c r="R18" s="210"/>
      <c r="S18" s="210"/>
      <c r="T18" s="210"/>
      <c r="U18" s="210"/>
      <c r="V18" s="210"/>
      <c r="W18" s="210"/>
      <c r="X18" s="210"/>
      <c r="Y18" s="210"/>
      <c r="Z18" s="210"/>
    </row>
    <row r="19" spans="1:26" ht="16.5" customHeight="1" x14ac:dyDescent="0.25">
      <c r="A19" s="210"/>
      <c r="B19" s="243" t="s">
        <v>612</v>
      </c>
      <c r="C19" s="244" t="s">
        <v>652</v>
      </c>
      <c r="D19" s="236">
        <f t="shared" ref="D19:O19" si="4">D9</f>
        <v>45322</v>
      </c>
      <c r="E19" s="236">
        <f t="shared" si="4"/>
        <v>45323</v>
      </c>
      <c r="F19" s="236">
        <f t="shared" si="4"/>
        <v>45352</v>
      </c>
      <c r="G19" s="236">
        <f t="shared" si="4"/>
        <v>45383</v>
      </c>
      <c r="H19" s="236">
        <f t="shared" si="4"/>
        <v>45413</v>
      </c>
      <c r="I19" s="236">
        <f t="shared" si="4"/>
        <v>45444</v>
      </c>
      <c r="J19" s="236">
        <f t="shared" si="4"/>
        <v>45474</v>
      </c>
      <c r="K19" s="236">
        <f t="shared" si="4"/>
        <v>45505</v>
      </c>
      <c r="L19" s="236">
        <f t="shared" si="4"/>
        <v>45536</v>
      </c>
      <c r="M19" s="236">
        <f t="shared" si="4"/>
        <v>45566</v>
      </c>
      <c r="N19" s="236">
        <f t="shared" si="4"/>
        <v>45597</v>
      </c>
      <c r="O19" s="236">
        <f t="shared" si="4"/>
        <v>45627</v>
      </c>
      <c r="P19" s="245" t="s">
        <v>650</v>
      </c>
      <c r="Q19" s="210"/>
      <c r="R19" s="210"/>
      <c r="S19" s="210"/>
      <c r="T19" s="210"/>
      <c r="U19" s="210"/>
      <c r="V19" s="210"/>
      <c r="W19" s="210"/>
      <c r="X19" s="210"/>
      <c r="Y19" s="210"/>
      <c r="Z19" s="210"/>
    </row>
    <row r="20" spans="1:26" ht="16.5" customHeight="1" x14ac:dyDescent="0.25">
      <c r="A20" s="210"/>
      <c r="B20" s="261" t="s">
        <v>613</v>
      </c>
      <c r="C20" s="247"/>
      <c r="D20" s="248"/>
      <c r="E20" s="248"/>
      <c r="F20" s="248"/>
      <c r="G20" s="248"/>
      <c r="H20" s="248"/>
      <c r="I20" s="248"/>
      <c r="J20" s="248"/>
      <c r="K20" s="248"/>
      <c r="L20" s="248"/>
      <c r="M20" s="248"/>
      <c r="N20" s="248"/>
      <c r="O20" s="248"/>
      <c r="P20" s="249">
        <f t="shared" ref="P20:P44" si="5">SUM(D20:O20)</f>
        <v>0</v>
      </c>
      <c r="Q20" s="210"/>
      <c r="R20" s="210"/>
      <c r="S20" s="210"/>
      <c r="T20" s="210"/>
      <c r="U20" s="210"/>
      <c r="V20" s="210"/>
      <c r="W20" s="210"/>
      <c r="X20" s="210"/>
      <c r="Y20" s="210"/>
      <c r="Z20" s="210"/>
    </row>
    <row r="21" spans="1:26" ht="16.5" customHeight="1" x14ac:dyDescent="0.25">
      <c r="A21" s="210"/>
      <c r="B21" s="261" t="s">
        <v>614</v>
      </c>
      <c r="C21" s="247"/>
      <c r="D21" s="248"/>
      <c r="E21" s="248"/>
      <c r="F21" s="248"/>
      <c r="G21" s="248"/>
      <c r="H21" s="248"/>
      <c r="I21" s="248"/>
      <c r="J21" s="248"/>
      <c r="K21" s="248"/>
      <c r="L21" s="248"/>
      <c r="M21" s="248"/>
      <c r="N21" s="248"/>
      <c r="O21" s="248"/>
      <c r="P21" s="249">
        <f t="shared" si="5"/>
        <v>0</v>
      </c>
      <c r="Q21" s="210"/>
      <c r="R21" s="210"/>
      <c r="S21" s="210"/>
      <c r="T21" s="210"/>
      <c r="U21" s="210"/>
      <c r="V21" s="210"/>
      <c r="W21" s="210"/>
      <c r="X21" s="210"/>
      <c r="Y21" s="210"/>
      <c r="Z21" s="210"/>
    </row>
    <row r="22" spans="1:26" ht="16.5" customHeight="1" x14ac:dyDescent="0.25">
      <c r="A22" s="210"/>
      <c r="B22" s="261" t="s">
        <v>615</v>
      </c>
      <c r="C22" s="247"/>
      <c r="D22" s="248"/>
      <c r="E22" s="248"/>
      <c r="F22" s="248"/>
      <c r="G22" s="248"/>
      <c r="H22" s="248"/>
      <c r="I22" s="248"/>
      <c r="J22" s="248"/>
      <c r="K22" s="248"/>
      <c r="L22" s="248"/>
      <c r="M22" s="248"/>
      <c r="N22" s="248"/>
      <c r="O22" s="248"/>
      <c r="P22" s="249">
        <f t="shared" si="5"/>
        <v>0</v>
      </c>
      <c r="Q22" s="210"/>
      <c r="R22" s="210"/>
      <c r="S22" s="210"/>
      <c r="T22" s="210"/>
      <c r="U22" s="210"/>
      <c r="V22" s="210"/>
      <c r="W22" s="210"/>
      <c r="X22" s="210"/>
      <c r="Y22" s="210"/>
      <c r="Z22" s="210"/>
    </row>
    <row r="23" spans="1:26" ht="16.5" customHeight="1" x14ac:dyDescent="0.25">
      <c r="A23" s="210"/>
      <c r="B23" s="261" t="s">
        <v>616</v>
      </c>
      <c r="C23" s="247"/>
      <c r="D23" s="248"/>
      <c r="E23" s="248"/>
      <c r="F23" s="248"/>
      <c r="G23" s="248"/>
      <c r="H23" s="248"/>
      <c r="I23" s="248"/>
      <c r="J23" s="248"/>
      <c r="K23" s="248"/>
      <c r="L23" s="248"/>
      <c r="M23" s="248"/>
      <c r="N23" s="248"/>
      <c r="O23" s="248"/>
      <c r="P23" s="249">
        <f t="shared" si="5"/>
        <v>0</v>
      </c>
      <c r="Q23" s="210"/>
      <c r="R23" s="210"/>
      <c r="S23" s="210"/>
      <c r="T23" s="210"/>
      <c r="U23" s="210"/>
      <c r="V23" s="210"/>
      <c r="W23" s="210"/>
      <c r="X23" s="210"/>
      <c r="Y23" s="210"/>
      <c r="Z23" s="210"/>
    </row>
    <row r="24" spans="1:26" ht="16.5" customHeight="1" x14ac:dyDescent="0.25">
      <c r="A24" s="210"/>
      <c r="B24" s="261" t="s">
        <v>617</v>
      </c>
      <c r="C24" s="247"/>
      <c r="D24" s="248"/>
      <c r="E24" s="248"/>
      <c r="F24" s="248"/>
      <c r="G24" s="248"/>
      <c r="H24" s="248"/>
      <c r="I24" s="248"/>
      <c r="J24" s="248"/>
      <c r="K24" s="248"/>
      <c r="L24" s="248"/>
      <c r="M24" s="248"/>
      <c r="N24" s="248"/>
      <c r="O24" s="248"/>
      <c r="P24" s="249">
        <f t="shared" si="5"/>
        <v>0</v>
      </c>
      <c r="Q24" s="210"/>
      <c r="R24" s="210"/>
      <c r="S24" s="210"/>
      <c r="T24" s="210"/>
      <c r="U24" s="210"/>
      <c r="V24" s="210"/>
      <c r="W24" s="210"/>
      <c r="X24" s="210"/>
      <c r="Y24" s="210"/>
      <c r="Z24" s="210"/>
    </row>
    <row r="25" spans="1:26" ht="16.5" customHeight="1" x14ac:dyDescent="0.25">
      <c r="A25" s="210"/>
      <c r="B25" s="262" t="s">
        <v>618</v>
      </c>
      <c r="C25" s="247"/>
      <c r="D25" s="248"/>
      <c r="E25" s="248"/>
      <c r="F25" s="248"/>
      <c r="G25" s="248"/>
      <c r="H25" s="248"/>
      <c r="I25" s="248"/>
      <c r="J25" s="248"/>
      <c r="K25" s="248"/>
      <c r="L25" s="248"/>
      <c r="M25" s="248"/>
      <c r="N25" s="248"/>
      <c r="O25" s="248"/>
      <c r="P25" s="249">
        <f t="shared" si="5"/>
        <v>0</v>
      </c>
      <c r="Q25" s="210"/>
      <c r="R25" s="210"/>
      <c r="S25" s="210"/>
      <c r="T25" s="210"/>
      <c r="U25" s="210"/>
      <c r="V25" s="210"/>
      <c r="W25" s="210"/>
      <c r="X25" s="210"/>
      <c r="Y25" s="210"/>
      <c r="Z25" s="210"/>
    </row>
    <row r="26" spans="1:26" ht="16.5" customHeight="1" x14ac:dyDescent="0.25">
      <c r="A26" s="210"/>
      <c r="B26" s="261" t="s">
        <v>619</v>
      </c>
      <c r="C26" s="247"/>
      <c r="D26" s="248"/>
      <c r="E26" s="248"/>
      <c r="F26" s="248"/>
      <c r="G26" s="248"/>
      <c r="H26" s="248"/>
      <c r="I26" s="248"/>
      <c r="J26" s="248"/>
      <c r="K26" s="248"/>
      <c r="L26" s="248"/>
      <c r="M26" s="248"/>
      <c r="N26" s="248"/>
      <c r="O26" s="248"/>
      <c r="P26" s="249">
        <f t="shared" si="5"/>
        <v>0</v>
      </c>
      <c r="Q26" s="210"/>
      <c r="R26" s="210"/>
      <c r="S26" s="210"/>
      <c r="T26" s="210"/>
      <c r="U26" s="210"/>
      <c r="V26" s="210"/>
      <c r="W26" s="210"/>
      <c r="X26" s="210"/>
      <c r="Y26" s="210"/>
      <c r="Z26" s="210"/>
    </row>
    <row r="27" spans="1:26" ht="16.5" customHeight="1" x14ac:dyDescent="0.25">
      <c r="A27" s="210"/>
      <c r="B27" s="261" t="s">
        <v>620</v>
      </c>
      <c r="C27" s="247"/>
      <c r="D27" s="250"/>
      <c r="E27" s="250"/>
      <c r="F27" s="250"/>
      <c r="G27" s="250"/>
      <c r="H27" s="250"/>
      <c r="I27" s="250"/>
      <c r="J27" s="250"/>
      <c r="K27" s="250"/>
      <c r="L27" s="250"/>
      <c r="M27" s="250"/>
      <c r="N27" s="250"/>
      <c r="O27" s="250"/>
      <c r="P27" s="249">
        <f t="shared" si="5"/>
        <v>0</v>
      </c>
      <c r="Q27" s="210"/>
      <c r="R27" s="210"/>
      <c r="S27" s="210"/>
      <c r="T27" s="210"/>
      <c r="U27" s="210"/>
      <c r="V27" s="210"/>
      <c r="W27" s="210"/>
      <c r="X27" s="210"/>
      <c r="Y27" s="210"/>
      <c r="Z27" s="210"/>
    </row>
    <row r="28" spans="1:26" ht="16.5" customHeight="1" x14ac:dyDescent="0.25">
      <c r="A28" s="210"/>
      <c r="B28" s="261" t="s">
        <v>621</v>
      </c>
      <c r="C28" s="247"/>
      <c r="D28" s="250"/>
      <c r="E28" s="250"/>
      <c r="F28" s="250"/>
      <c r="G28" s="250"/>
      <c r="H28" s="250"/>
      <c r="I28" s="250"/>
      <c r="J28" s="250"/>
      <c r="K28" s="250"/>
      <c r="L28" s="250"/>
      <c r="M28" s="250"/>
      <c r="N28" s="250"/>
      <c r="O28" s="250"/>
      <c r="P28" s="249">
        <f t="shared" si="5"/>
        <v>0</v>
      </c>
      <c r="Q28" s="210"/>
      <c r="R28" s="210"/>
      <c r="S28" s="210"/>
      <c r="T28" s="210"/>
      <c r="U28" s="210"/>
      <c r="V28" s="210"/>
      <c r="W28" s="210"/>
      <c r="X28" s="210"/>
      <c r="Y28" s="210"/>
      <c r="Z28" s="210"/>
    </row>
    <row r="29" spans="1:26" ht="16.5" customHeight="1" x14ac:dyDescent="0.25">
      <c r="A29" s="210"/>
      <c r="B29" s="261" t="s">
        <v>622</v>
      </c>
      <c r="C29" s="247"/>
      <c r="D29" s="250"/>
      <c r="E29" s="250"/>
      <c r="F29" s="250"/>
      <c r="G29" s="250"/>
      <c r="H29" s="250"/>
      <c r="I29" s="250"/>
      <c r="J29" s="250"/>
      <c r="K29" s="250"/>
      <c r="L29" s="250"/>
      <c r="M29" s="250"/>
      <c r="N29" s="250"/>
      <c r="O29" s="250"/>
      <c r="P29" s="249">
        <f t="shared" si="5"/>
        <v>0</v>
      </c>
      <c r="Q29" s="210"/>
      <c r="R29" s="210"/>
      <c r="S29" s="210"/>
      <c r="T29" s="210"/>
      <c r="U29" s="210"/>
      <c r="V29" s="210"/>
      <c r="W29" s="210"/>
      <c r="X29" s="210"/>
      <c r="Y29" s="210"/>
      <c r="Z29" s="210"/>
    </row>
    <row r="30" spans="1:26" ht="16.5" customHeight="1" x14ac:dyDescent="0.25">
      <c r="A30" s="210"/>
      <c r="B30" s="261" t="s">
        <v>623</v>
      </c>
      <c r="C30" s="247"/>
      <c r="D30" s="250"/>
      <c r="E30" s="250"/>
      <c r="F30" s="250"/>
      <c r="G30" s="250"/>
      <c r="H30" s="250"/>
      <c r="I30" s="250"/>
      <c r="J30" s="250"/>
      <c r="K30" s="250"/>
      <c r="L30" s="250"/>
      <c r="M30" s="250"/>
      <c r="N30" s="250"/>
      <c r="O30" s="250"/>
      <c r="P30" s="249">
        <f t="shared" si="5"/>
        <v>0</v>
      </c>
      <c r="Q30" s="210"/>
      <c r="R30" s="210"/>
      <c r="S30" s="210"/>
      <c r="T30" s="210"/>
      <c r="U30" s="210"/>
      <c r="V30" s="210"/>
      <c r="W30" s="210"/>
      <c r="X30" s="210"/>
      <c r="Y30" s="210"/>
      <c r="Z30" s="210"/>
    </row>
    <row r="31" spans="1:26" ht="16.5" customHeight="1" x14ac:dyDescent="0.25">
      <c r="A31" s="210"/>
      <c r="B31" s="261" t="s">
        <v>624</v>
      </c>
      <c r="C31" s="247"/>
      <c r="D31" s="250"/>
      <c r="E31" s="250"/>
      <c r="F31" s="250"/>
      <c r="G31" s="250"/>
      <c r="H31" s="250"/>
      <c r="I31" s="250"/>
      <c r="J31" s="250"/>
      <c r="K31" s="250"/>
      <c r="L31" s="250"/>
      <c r="M31" s="250"/>
      <c r="N31" s="250"/>
      <c r="O31" s="250"/>
      <c r="P31" s="249">
        <f t="shared" si="5"/>
        <v>0</v>
      </c>
      <c r="Q31" s="210"/>
      <c r="R31" s="210"/>
      <c r="S31" s="210"/>
      <c r="T31" s="210"/>
      <c r="U31" s="210"/>
      <c r="V31" s="210"/>
      <c r="W31" s="210"/>
      <c r="X31" s="210"/>
      <c r="Y31" s="210"/>
      <c r="Z31" s="210"/>
    </row>
    <row r="32" spans="1:26" ht="16.5" customHeight="1" x14ac:dyDescent="0.25">
      <c r="A32" s="210"/>
      <c r="B32" s="261" t="s">
        <v>625</v>
      </c>
      <c r="C32" s="247"/>
      <c r="D32" s="250"/>
      <c r="E32" s="250"/>
      <c r="F32" s="250"/>
      <c r="G32" s="250"/>
      <c r="H32" s="250"/>
      <c r="I32" s="250"/>
      <c r="J32" s="250"/>
      <c r="K32" s="250"/>
      <c r="L32" s="250"/>
      <c r="M32" s="250"/>
      <c r="N32" s="250"/>
      <c r="O32" s="250"/>
      <c r="P32" s="249">
        <f t="shared" si="5"/>
        <v>0</v>
      </c>
      <c r="Q32" s="210"/>
      <c r="R32" s="210"/>
      <c r="S32" s="210"/>
      <c r="T32" s="210"/>
      <c r="U32" s="210"/>
      <c r="V32" s="210"/>
      <c r="W32" s="210"/>
      <c r="X32" s="210"/>
      <c r="Y32" s="210"/>
      <c r="Z32" s="210"/>
    </row>
    <row r="33" spans="1:26" ht="16.5" customHeight="1" x14ac:dyDescent="0.25">
      <c r="A33" s="210"/>
      <c r="B33" s="261" t="s">
        <v>626</v>
      </c>
      <c r="C33" s="247"/>
      <c r="D33" s="250"/>
      <c r="E33" s="250"/>
      <c r="F33" s="250"/>
      <c r="G33" s="250"/>
      <c r="H33" s="250"/>
      <c r="I33" s="250"/>
      <c r="J33" s="250"/>
      <c r="K33" s="250"/>
      <c r="L33" s="250"/>
      <c r="M33" s="250"/>
      <c r="N33" s="250"/>
      <c r="O33" s="250"/>
      <c r="P33" s="249">
        <f t="shared" si="5"/>
        <v>0</v>
      </c>
      <c r="Q33" s="210"/>
      <c r="R33" s="210"/>
      <c r="S33" s="210"/>
      <c r="T33" s="210"/>
      <c r="U33" s="210"/>
      <c r="V33" s="210"/>
      <c r="W33" s="210"/>
      <c r="X33" s="210"/>
      <c r="Y33" s="210"/>
      <c r="Z33" s="210"/>
    </row>
    <row r="34" spans="1:26" ht="16.5" customHeight="1" x14ac:dyDescent="0.25">
      <c r="A34" s="210"/>
      <c r="B34" s="261" t="s">
        <v>627</v>
      </c>
      <c r="C34" s="247"/>
      <c r="D34" s="250"/>
      <c r="E34" s="250"/>
      <c r="F34" s="250"/>
      <c r="G34" s="250"/>
      <c r="H34" s="250"/>
      <c r="I34" s="250"/>
      <c r="J34" s="250"/>
      <c r="K34" s="250"/>
      <c r="L34" s="250"/>
      <c r="M34" s="250"/>
      <c r="N34" s="250"/>
      <c r="O34" s="250"/>
      <c r="P34" s="249">
        <f t="shared" si="5"/>
        <v>0</v>
      </c>
      <c r="Q34" s="210"/>
      <c r="R34" s="210"/>
      <c r="S34" s="210"/>
      <c r="T34" s="210"/>
      <c r="U34" s="210"/>
      <c r="V34" s="210"/>
      <c r="W34" s="210"/>
      <c r="X34" s="210"/>
      <c r="Y34" s="210"/>
      <c r="Z34" s="210"/>
    </row>
    <row r="35" spans="1:26" ht="16.5" customHeight="1" x14ac:dyDescent="0.25">
      <c r="A35" s="210"/>
      <c r="B35" s="261" t="s">
        <v>628</v>
      </c>
      <c r="C35" s="247"/>
      <c r="D35" s="250"/>
      <c r="E35" s="250"/>
      <c r="F35" s="250"/>
      <c r="G35" s="250"/>
      <c r="H35" s="250"/>
      <c r="I35" s="250"/>
      <c r="J35" s="250"/>
      <c r="K35" s="250"/>
      <c r="L35" s="250"/>
      <c r="M35" s="250"/>
      <c r="N35" s="250"/>
      <c r="O35" s="250"/>
      <c r="P35" s="249">
        <f t="shared" si="5"/>
        <v>0</v>
      </c>
      <c r="Q35" s="210"/>
      <c r="R35" s="210"/>
      <c r="S35" s="210"/>
      <c r="T35" s="210"/>
      <c r="U35" s="210"/>
      <c r="V35" s="210"/>
      <c r="W35" s="210"/>
      <c r="X35" s="210"/>
      <c r="Y35" s="210"/>
      <c r="Z35" s="210"/>
    </row>
    <row r="36" spans="1:26" ht="16.5" customHeight="1" x14ac:dyDescent="0.25">
      <c r="A36" s="210"/>
      <c r="B36" s="261" t="s">
        <v>629</v>
      </c>
      <c r="C36" s="247"/>
      <c r="D36" s="250"/>
      <c r="E36" s="250"/>
      <c r="F36" s="250"/>
      <c r="G36" s="250"/>
      <c r="H36" s="250"/>
      <c r="I36" s="250"/>
      <c r="J36" s="250"/>
      <c r="K36" s="250"/>
      <c r="L36" s="250"/>
      <c r="M36" s="250"/>
      <c r="N36" s="250"/>
      <c r="O36" s="250"/>
      <c r="P36" s="249">
        <f t="shared" si="5"/>
        <v>0</v>
      </c>
      <c r="Q36" s="210"/>
      <c r="R36" s="210"/>
      <c r="S36" s="210"/>
      <c r="T36" s="210"/>
      <c r="U36" s="210"/>
      <c r="V36" s="210"/>
      <c r="W36" s="210"/>
      <c r="X36" s="210"/>
      <c r="Y36" s="210"/>
      <c r="Z36" s="210"/>
    </row>
    <row r="37" spans="1:26" ht="16.5" customHeight="1" x14ac:dyDescent="0.25">
      <c r="A37" s="210"/>
      <c r="B37" s="261" t="s">
        <v>630</v>
      </c>
      <c r="C37" s="247"/>
      <c r="D37" s="250"/>
      <c r="E37" s="250"/>
      <c r="F37" s="250"/>
      <c r="G37" s="250"/>
      <c r="H37" s="250"/>
      <c r="I37" s="250"/>
      <c r="J37" s="250"/>
      <c r="K37" s="250"/>
      <c r="L37" s="250"/>
      <c r="M37" s="250"/>
      <c r="N37" s="250"/>
      <c r="O37" s="250"/>
      <c r="P37" s="249">
        <f t="shared" si="5"/>
        <v>0</v>
      </c>
      <c r="Q37" s="210"/>
      <c r="R37" s="210"/>
      <c r="S37" s="210"/>
      <c r="T37" s="210"/>
      <c r="U37" s="210"/>
      <c r="V37" s="210"/>
      <c r="W37" s="210"/>
      <c r="X37" s="210"/>
      <c r="Y37" s="210"/>
      <c r="Z37" s="210"/>
    </row>
    <row r="38" spans="1:26" ht="16.5" customHeight="1" x14ac:dyDescent="0.25">
      <c r="A38" s="210"/>
      <c r="B38" s="261" t="s">
        <v>631</v>
      </c>
      <c r="C38" s="247"/>
      <c r="D38" s="250"/>
      <c r="E38" s="250"/>
      <c r="F38" s="250"/>
      <c r="G38" s="250"/>
      <c r="H38" s="250"/>
      <c r="I38" s="250"/>
      <c r="J38" s="250"/>
      <c r="K38" s="250"/>
      <c r="L38" s="250"/>
      <c r="M38" s="250"/>
      <c r="N38" s="250"/>
      <c r="O38" s="250"/>
      <c r="P38" s="249">
        <f t="shared" si="5"/>
        <v>0</v>
      </c>
      <c r="Q38" s="210"/>
      <c r="R38" s="210"/>
      <c r="S38" s="210"/>
      <c r="T38" s="210"/>
      <c r="U38" s="210"/>
      <c r="V38" s="210"/>
      <c r="W38" s="210"/>
      <c r="X38" s="210"/>
      <c r="Y38" s="210"/>
      <c r="Z38" s="210"/>
    </row>
    <row r="39" spans="1:26" ht="16.5" customHeight="1" x14ac:dyDescent="0.25">
      <c r="A39" s="210"/>
      <c r="B39" s="261" t="s">
        <v>632</v>
      </c>
      <c r="C39" s="247"/>
      <c r="D39" s="250"/>
      <c r="E39" s="250"/>
      <c r="F39" s="250"/>
      <c r="G39" s="250"/>
      <c r="H39" s="250"/>
      <c r="I39" s="250"/>
      <c r="J39" s="250"/>
      <c r="K39" s="250"/>
      <c r="L39" s="250"/>
      <c r="M39" s="250"/>
      <c r="N39" s="250"/>
      <c r="O39" s="250"/>
      <c r="P39" s="249">
        <f t="shared" si="5"/>
        <v>0</v>
      </c>
      <c r="Q39" s="210"/>
      <c r="R39" s="210"/>
      <c r="S39" s="210"/>
      <c r="T39" s="210"/>
      <c r="U39" s="210"/>
      <c r="V39" s="210"/>
      <c r="W39" s="210"/>
      <c r="X39" s="210"/>
      <c r="Y39" s="210"/>
      <c r="Z39" s="210"/>
    </row>
    <row r="40" spans="1:26" ht="16.5" customHeight="1" x14ac:dyDescent="0.25">
      <c r="A40" s="210"/>
      <c r="B40" s="263" t="s">
        <v>633</v>
      </c>
      <c r="C40" s="247"/>
      <c r="D40" s="250"/>
      <c r="E40" s="250"/>
      <c r="F40" s="250"/>
      <c r="G40" s="250"/>
      <c r="H40" s="250"/>
      <c r="I40" s="250"/>
      <c r="J40" s="250"/>
      <c r="K40" s="250"/>
      <c r="L40" s="250"/>
      <c r="M40" s="250"/>
      <c r="N40" s="250"/>
      <c r="O40" s="250"/>
      <c r="P40" s="249">
        <f t="shared" si="5"/>
        <v>0</v>
      </c>
      <c r="Q40" s="210"/>
      <c r="R40" s="210"/>
      <c r="S40" s="210"/>
      <c r="T40" s="210"/>
      <c r="U40" s="210"/>
      <c r="V40" s="210"/>
      <c r="W40" s="210"/>
      <c r="X40" s="210"/>
      <c r="Y40" s="210"/>
      <c r="Z40" s="210"/>
    </row>
    <row r="41" spans="1:26" ht="16.5" customHeight="1" x14ac:dyDescent="0.25">
      <c r="A41" s="210"/>
      <c r="B41" s="246" t="s">
        <v>634</v>
      </c>
      <c r="C41" s="247"/>
      <c r="D41" s="250"/>
      <c r="E41" s="250"/>
      <c r="F41" s="250"/>
      <c r="G41" s="250"/>
      <c r="H41" s="250"/>
      <c r="I41" s="250"/>
      <c r="J41" s="250"/>
      <c r="K41" s="250"/>
      <c r="L41" s="250"/>
      <c r="M41" s="250"/>
      <c r="N41" s="250"/>
      <c r="O41" s="250"/>
      <c r="P41" s="249">
        <f t="shared" si="5"/>
        <v>0</v>
      </c>
      <c r="Q41" s="210"/>
      <c r="R41" s="210"/>
      <c r="S41" s="210"/>
      <c r="T41" s="210"/>
      <c r="U41" s="210"/>
      <c r="V41" s="210"/>
      <c r="W41" s="210"/>
      <c r="X41" s="210"/>
      <c r="Y41" s="210"/>
      <c r="Z41" s="210"/>
    </row>
    <row r="42" spans="1:26" ht="16.5" customHeight="1" x14ac:dyDescent="0.25">
      <c r="A42" s="210"/>
      <c r="B42" s="246" t="s">
        <v>634</v>
      </c>
      <c r="C42" s="247"/>
      <c r="D42" s="250"/>
      <c r="E42" s="250"/>
      <c r="F42" s="250"/>
      <c r="G42" s="250"/>
      <c r="H42" s="250"/>
      <c r="I42" s="250"/>
      <c r="J42" s="250"/>
      <c r="K42" s="250"/>
      <c r="L42" s="250"/>
      <c r="M42" s="250"/>
      <c r="N42" s="250"/>
      <c r="O42" s="250"/>
      <c r="P42" s="249">
        <f t="shared" si="5"/>
        <v>0</v>
      </c>
      <c r="Q42" s="210"/>
      <c r="R42" s="210"/>
      <c r="S42" s="210"/>
      <c r="T42" s="210"/>
      <c r="U42" s="210"/>
      <c r="V42" s="210"/>
      <c r="W42" s="210"/>
      <c r="X42" s="210"/>
      <c r="Y42" s="210"/>
      <c r="Z42" s="210"/>
    </row>
    <row r="43" spans="1:26" ht="16.5" customHeight="1" x14ac:dyDescent="0.25">
      <c r="A43" s="210"/>
      <c r="B43" s="246" t="s">
        <v>634</v>
      </c>
      <c r="C43" s="247"/>
      <c r="D43" s="250"/>
      <c r="E43" s="250"/>
      <c r="F43" s="250"/>
      <c r="G43" s="250"/>
      <c r="H43" s="250"/>
      <c r="I43" s="250"/>
      <c r="J43" s="250"/>
      <c r="K43" s="250"/>
      <c r="L43" s="250"/>
      <c r="M43" s="250"/>
      <c r="N43" s="250"/>
      <c r="O43" s="250"/>
      <c r="P43" s="249">
        <f t="shared" si="5"/>
        <v>0</v>
      </c>
      <c r="Q43" s="210"/>
      <c r="R43" s="210"/>
      <c r="S43" s="210"/>
      <c r="T43" s="210"/>
      <c r="U43" s="210"/>
      <c r="V43" s="210"/>
      <c r="W43" s="210"/>
      <c r="X43" s="210"/>
      <c r="Y43" s="210"/>
      <c r="Z43" s="210"/>
    </row>
    <row r="44" spans="1:26" ht="16.5" customHeight="1" x14ac:dyDescent="0.25">
      <c r="A44" s="210"/>
      <c r="B44" s="246" t="s">
        <v>635</v>
      </c>
      <c r="C44" s="247"/>
      <c r="D44" s="250"/>
      <c r="E44" s="250"/>
      <c r="F44" s="250"/>
      <c r="G44" s="250"/>
      <c r="H44" s="250"/>
      <c r="I44" s="250"/>
      <c r="J44" s="250"/>
      <c r="K44" s="250"/>
      <c r="L44" s="250"/>
      <c r="M44" s="250"/>
      <c r="N44" s="250"/>
      <c r="O44" s="250"/>
      <c r="P44" s="249">
        <f t="shared" si="5"/>
        <v>0</v>
      </c>
      <c r="Q44" s="210"/>
      <c r="R44" s="210"/>
      <c r="S44" s="210"/>
      <c r="T44" s="210"/>
      <c r="U44" s="210"/>
      <c r="V44" s="210"/>
      <c r="W44" s="210"/>
      <c r="X44" s="210"/>
      <c r="Y44" s="210"/>
      <c r="Z44" s="210"/>
    </row>
    <row r="45" spans="1:26" ht="16.5" customHeight="1" x14ac:dyDescent="0.25">
      <c r="A45" s="210"/>
      <c r="B45" s="251" t="s">
        <v>636</v>
      </c>
      <c r="C45" s="264"/>
      <c r="D45" s="253">
        <f>SUBTOTAL(109,'BONUS Cashflow Tracker (Monthly'!$D$20:$D$44)</f>
        <v>0</v>
      </c>
      <c r="E45" s="253">
        <f>SUBTOTAL(109,'BONUS Cashflow Tracker (Monthly'!$E$20:$E$44)</f>
        <v>0</v>
      </c>
      <c r="F45" s="253">
        <f>SUBTOTAL(109,'BONUS Cashflow Tracker (Monthly'!$F$20:$F$44)</f>
        <v>0</v>
      </c>
      <c r="G45" s="253">
        <f>SUBTOTAL(109,'BONUS Cashflow Tracker (Monthly'!$G$20:$G$44)</f>
        <v>0</v>
      </c>
      <c r="H45" s="253">
        <f>SUBTOTAL(109,'BONUS Cashflow Tracker (Monthly'!$H$20:$H$44)</f>
        <v>0</v>
      </c>
      <c r="I45" s="253">
        <f>SUBTOTAL(109,'BONUS Cashflow Tracker (Monthly'!$I$20:$I$44)</f>
        <v>0</v>
      </c>
      <c r="J45" s="253">
        <f>SUBTOTAL(109,'BONUS Cashflow Tracker (Monthly'!$J$20:$J$44)</f>
        <v>0</v>
      </c>
      <c r="K45" s="253">
        <f>SUBTOTAL(109,'BONUS Cashflow Tracker (Monthly'!$K$20:$K$44)</f>
        <v>0</v>
      </c>
      <c r="L45" s="253">
        <f>SUBTOTAL(109,'BONUS Cashflow Tracker (Monthly'!$L$20:$L$44)</f>
        <v>0</v>
      </c>
      <c r="M45" s="253">
        <f>SUBTOTAL(109,'BONUS Cashflow Tracker (Monthly'!$M$20:$M$44)</f>
        <v>0</v>
      </c>
      <c r="N45" s="253">
        <f>SUBTOTAL(109,'BONUS Cashflow Tracker (Monthly'!$N$20:$N$44)</f>
        <v>0</v>
      </c>
      <c r="O45" s="253">
        <f>SUBTOTAL(109,'BONUS Cashflow Tracker (Monthly'!$O$20:$O$44)</f>
        <v>0</v>
      </c>
      <c r="P45" s="254">
        <f>SUBTOTAL(109,'BONUS Cashflow Tracker (Monthly'!$P$20:$P$44)</f>
        <v>0</v>
      </c>
      <c r="Q45" s="210"/>
      <c r="R45" s="210"/>
      <c r="S45" s="210"/>
      <c r="T45" s="210"/>
      <c r="U45" s="210"/>
      <c r="V45" s="210"/>
      <c r="W45" s="210"/>
      <c r="X45" s="210"/>
      <c r="Y45" s="210"/>
      <c r="Z45" s="210"/>
    </row>
    <row r="46" spans="1:26" ht="16.5" customHeight="1" x14ac:dyDescent="0.25">
      <c r="A46" s="210"/>
      <c r="B46" s="265" t="s">
        <v>637</v>
      </c>
      <c r="C46" s="266" t="s">
        <v>652</v>
      </c>
      <c r="D46" s="267"/>
      <c r="E46" s="268"/>
      <c r="F46" s="268"/>
      <c r="G46" s="268"/>
      <c r="H46" s="268"/>
      <c r="I46" s="268"/>
      <c r="J46" s="268"/>
      <c r="K46" s="268"/>
      <c r="L46" s="268"/>
      <c r="M46" s="268"/>
      <c r="N46" s="268"/>
      <c r="O46" s="268"/>
      <c r="P46" s="269"/>
      <c r="Q46" s="210"/>
      <c r="R46" s="210"/>
      <c r="S46" s="210"/>
      <c r="T46" s="210"/>
      <c r="U46" s="210"/>
      <c r="V46" s="210"/>
      <c r="W46" s="210"/>
      <c r="X46" s="210"/>
      <c r="Y46" s="210"/>
      <c r="Z46" s="210"/>
    </row>
    <row r="47" spans="1:26" ht="16.5" customHeight="1" x14ac:dyDescent="0.25">
      <c r="A47" s="210"/>
      <c r="B47" s="270" t="s">
        <v>638</v>
      </c>
      <c r="C47" s="271"/>
      <c r="D47" s="267"/>
      <c r="E47" s="268"/>
      <c r="F47" s="268"/>
      <c r="G47" s="268"/>
      <c r="H47" s="268"/>
      <c r="I47" s="268"/>
      <c r="J47" s="268"/>
      <c r="K47" s="268"/>
      <c r="L47" s="268"/>
      <c r="M47" s="268"/>
      <c r="N47" s="268"/>
      <c r="O47" s="268"/>
      <c r="P47" s="269">
        <f t="shared" ref="P47:P51" si="6">SUM(D47:O47)</f>
        <v>0</v>
      </c>
      <c r="Q47" s="210"/>
      <c r="R47" s="210"/>
      <c r="S47" s="210"/>
      <c r="T47" s="210"/>
      <c r="U47" s="210"/>
      <c r="V47" s="210"/>
      <c r="W47" s="210"/>
      <c r="X47" s="210"/>
      <c r="Y47" s="210"/>
      <c r="Z47" s="210"/>
    </row>
    <row r="48" spans="1:26" ht="16.5" customHeight="1" x14ac:dyDescent="0.25">
      <c r="A48" s="210"/>
      <c r="B48" s="270" t="s">
        <v>639</v>
      </c>
      <c r="C48" s="271"/>
      <c r="D48" s="267"/>
      <c r="E48" s="268"/>
      <c r="F48" s="268"/>
      <c r="G48" s="268"/>
      <c r="H48" s="268"/>
      <c r="I48" s="268"/>
      <c r="J48" s="268"/>
      <c r="K48" s="268"/>
      <c r="L48" s="268"/>
      <c r="M48" s="268"/>
      <c r="N48" s="268"/>
      <c r="O48" s="268"/>
      <c r="P48" s="269">
        <f t="shared" si="6"/>
        <v>0</v>
      </c>
      <c r="Q48" s="210"/>
      <c r="R48" s="210"/>
      <c r="S48" s="210"/>
      <c r="T48" s="210"/>
      <c r="U48" s="210"/>
      <c r="V48" s="210"/>
      <c r="W48" s="210"/>
      <c r="X48" s="210"/>
      <c r="Y48" s="210"/>
      <c r="Z48" s="210"/>
    </row>
    <row r="49" spans="1:26" ht="16.5" customHeight="1" x14ac:dyDescent="0.25">
      <c r="A49" s="210"/>
      <c r="B49" s="270" t="s">
        <v>640</v>
      </c>
      <c r="C49" s="271"/>
      <c r="D49" s="267"/>
      <c r="E49" s="268"/>
      <c r="F49" s="268"/>
      <c r="G49" s="268"/>
      <c r="H49" s="268"/>
      <c r="I49" s="268"/>
      <c r="J49" s="268"/>
      <c r="K49" s="268"/>
      <c r="L49" s="268"/>
      <c r="M49" s="268"/>
      <c r="N49" s="268"/>
      <c r="O49" s="268"/>
      <c r="P49" s="269">
        <f t="shared" si="6"/>
        <v>0</v>
      </c>
      <c r="Q49" s="210"/>
      <c r="R49" s="210"/>
      <c r="S49" s="210"/>
      <c r="T49" s="210"/>
      <c r="U49" s="210"/>
      <c r="V49" s="210"/>
      <c r="W49" s="210"/>
      <c r="X49" s="210"/>
      <c r="Y49" s="210"/>
      <c r="Z49" s="210"/>
    </row>
    <row r="50" spans="1:26" ht="16.5" customHeight="1" x14ac:dyDescent="0.25">
      <c r="A50" s="210"/>
      <c r="B50" s="270" t="s">
        <v>641</v>
      </c>
      <c r="C50" s="271"/>
      <c r="D50" s="267"/>
      <c r="E50" s="268"/>
      <c r="F50" s="268"/>
      <c r="G50" s="268"/>
      <c r="H50" s="268"/>
      <c r="I50" s="268"/>
      <c r="J50" s="268"/>
      <c r="K50" s="268"/>
      <c r="L50" s="268"/>
      <c r="M50" s="268"/>
      <c r="N50" s="268"/>
      <c r="O50" s="268"/>
      <c r="P50" s="269">
        <f t="shared" si="6"/>
        <v>0</v>
      </c>
      <c r="Q50" s="210"/>
      <c r="R50" s="210"/>
      <c r="S50" s="210"/>
      <c r="T50" s="210"/>
      <c r="U50" s="210"/>
      <c r="V50" s="210"/>
      <c r="W50" s="210"/>
      <c r="X50" s="210"/>
      <c r="Y50" s="210"/>
      <c r="Z50" s="210"/>
    </row>
    <row r="51" spans="1:26" ht="16.5" customHeight="1" x14ac:dyDescent="0.25">
      <c r="A51" s="210"/>
      <c r="B51" s="270" t="s">
        <v>642</v>
      </c>
      <c r="C51" s="271"/>
      <c r="D51" s="267"/>
      <c r="E51" s="268"/>
      <c r="F51" s="268"/>
      <c r="G51" s="268"/>
      <c r="H51" s="268"/>
      <c r="I51" s="268"/>
      <c r="J51" s="268"/>
      <c r="K51" s="268"/>
      <c r="L51" s="268"/>
      <c r="M51" s="268"/>
      <c r="N51" s="268"/>
      <c r="O51" s="268"/>
      <c r="P51" s="272">
        <f t="shared" si="6"/>
        <v>0</v>
      </c>
      <c r="Q51" s="210"/>
      <c r="R51" s="210"/>
      <c r="S51" s="210"/>
      <c r="T51" s="210"/>
      <c r="U51" s="210"/>
      <c r="V51" s="210"/>
      <c r="W51" s="210"/>
      <c r="X51" s="210"/>
      <c r="Y51" s="210"/>
      <c r="Z51" s="210"/>
    </row>
    <row r="52" spans="1:26" ht="16.5" customHeight="1" x14ac:dyDescent="0.25">
      <c r="A52" s="210"/>
      <c r="B52" s="273" t="s">
        <v>636</v>
      </c>
      <c r="C52" s="274"/>
      <c r="D52" s="275">
        <f t="shared" ref="D52:P52" si="7">SUM(D47:D51)</f>
        <v>0</v>
      </c>
      <c r="E52" s="276">
        <f t="shared" si="7"/>
        <v>0</v>
      </c>
      <c r="F52" s="276">
        <f t="shared" si="7"/>
        <v>0</v>
      </c>
      <c r="G52" s="276">
        <f t="shared" si="7"/>
        <v>0</v>
      </c>
      <c r="H52" s="276">
        <f t="shared" si="7"/>
        <v>0</v>
      </c>
      <c r="I52" s="276">
        <f t="shared" si="7"/>
        <v>0</v>
      </c>
      <c r="J52" s="276">
        <f t="shared" si="7"/>
        <v>0</v>
      </c>
      <c r="K52" s="276">
        <f t="shared" si="7"/>
        <v>0</v>
      </c>
      <c r="L52" s="276">
        <f t="shared" si="7"/>
        <v>0</v>
      </c>
      <c r="M52" s="276">
        <f t="shared" si="7"/>
        <v>0</v>
      </c>
      <c r="N52" s="276">
        <f t="shared" si="7"/>
        <v>0</v>
      </c>
      <c r="O52" s="276">
        <f t="shared" si="7"/>
        <v>0</v>
      </c>
      <c r="P52" s="276">
        <f t="shared" si="7"/>
        <v>0</v>
      </c>
      <c r="Q52" s="210"/>
      <c r="R52" s="210"/>
      <c r="S52" s="210"/>
      <c r="T52" s="210"/>
      <c r="U52" s="210"/>
      <c r="V52" s="210"/>
      <c r="W52" s="210"/>
      <c r="X52" s="210"/>
      <c r="Y52" s="210"/>
      <c r="Z52" s="210"/>
    </row>
    <row r="53" spans="1:26" ht="16.5" customHeight="1" x14ac:dyDescent="0.25">
      <c r="A53" s="210"/>
      <c r="B53" s="273" t="s">
        <v>643</v>
      </c>
      <c r="C53" s="274"/>
      <c r="D53" s="275">
        <f>'BONUS Cashflow Tracker (Monthly'!$D$45+SUBTOTAL(109,'BONUS Cashflow Tracker (Monthly'!$D$47:$D$51)</f>
        <v>0</v>
      </c>
      <c r="E53" s="276">
        <f>'BONUS Cashflow Tracker (Monthly'!$E$45+SUBTOTAL(109,'BONUS Cashflow Tracker (Monthly'!$E$47:$E$51)</f>
        <v>0</v>
      </c>
      <c r="F53" s="276">
        <f>'BONUS Cashflow Tracker (Monthly'!$F$45+SUBTOTAL(109,'BONUS Cashflow Tracker (Monthly'!$F$47:$F$51)</f>
        <v>0</v>
      </c>
      <c r="G53" s="250">
        <f>'BONUS Cashflow Tracker (Monthly'!$G$45+SUBTOTAL(109,'BONUS Cashflow Tracker (Monthly'!$G$47:$G$51)</f>
        <v>0</v>
      </c>
      <c r="H53" s="250">
        <f>'BONUS Cashflow Tracker (Monthly'!$H$45+SUBTOTAL(109,'BONUS Cashflow Tracker (Monthly'!$H$47:$H$51)</f>
        <v>0</v>
      </c>
      <c r="I53" s="250">
        <f>'BONUS Cashflow Tracker (Monthly'!$I$45+SUBTOTAL(109,'BONUS Cashflow Tracker (Monthly'!$I$47:$I$51)</f>
        <v>0</v>
      </c>
      <c r="J53" s="250">
        <f>'BONUS Cashflow Tracker (Monthly'!$J$45+SUBTOTAL(109,'BONUS Cashflow Tracker (Monthly'!$J$47:$J$51)</f>
        <v>0</v>
      </c>
      <c r="K53" s="250">
        <f>'BONUS Cashflow Tracker (Monthly'!$K$45+SUBTOTAL(109,'BONUS Cashflow Tracker (Monthly'!$K$47:$K$51)</f>
        <v>0</v>
      </c>
      <c r="L53" s="250">
        <f>'BONUS Cashflow Tracker (Monthly'!$L$45+SUBTOTAL(109,'BONUS Cashflow Tracker (Monthly'!$L$47:$L$51)</f>
        <v>0</v>
      </c>
      <c r="M53" s="250">
        <f>'BONUS Cashflow Tracker (Monthly'!$M$45+SUBTOTAL(109,'BONUS Cashflow Tracker (Monthly'!$M$47:$M$51)</f>
        <v>0</v>
      </c>
      <c r="N53" s="250">
        <f>'BONUS Cashflow Tracker (Monthly'!$N$45+SUBTOTAL(109,'BONUS Cashflow Tracker (Monthly'!$N$47:$N$51)</f>
        <v>0</v>
      </c>
      <c r="O53" s="250">
        <f>'BONUS Cashflow Tracker (Monthly'!$O$45+SUBTOTAL(109,'BONUS Cashflow Tracker (Monthly'!$O$47:$O$51)</f>
        <v>0</v>
      </c>
      <c r="P53" s="276">
        <f>SUM(D53:O53)</f>
        <v>0</v>
      </c>
      <c r="Q53" s="210"/>
      <c r="R53" s="210"/>
      <c r="S53" s="210"/>
      <c r="T53" s="210"/>
      <c r="U53" s="210"/>
      <c r="V53" s="210"/>
      <c r="W53" s="210"/>
      <c r="X53" s="210"/>
      <c r="Y53" s="210"/>
      <c r="Z53" s="210"/>
    </row>
    <row r="54" spans="1:26" ht="16.5" customHeight="1" x14ac:dyDescent="0.25">
      <c r="A54" s="210"/>
      <c r="B54" s="277" t="s">
        <v>644</v>
      </c>
      <c r="C54" s="278">
        <f>C17</f>
        <v>0</v>
      </c>
      <c r="D54" s="279">
        <f>D17-'BONUS Cashflow Tracker (Monthly'!$D$53</f>
        <v>0</v>
      </c>
      <c r="E54" s="279">
        <f>E17-'BONUS Cashflow Tracker (Monthly'!$E$53</f>
        <v>0</v>
      </c>
      <c r="F54" s="279">
        <f>F17-'BONUS Cashflow Tracker (Monthly'!$F$53</f>
        <v>0</v>
      </c>
      <c r="G54" s="279">
        <f>G17-'BONUS Cashflow Tracker (Monthly'!$G$53</f>
        <v>0</v>
      </c>
      <c r="H54" s="279">
        <f>H17-'BONUS Cashflow Tracker (Monthly'!$H$53</f>
        <v>0</v>
      </c>
      <c r="I54" s="279">
        <f>I17-'BONUS Cashflow Tracker (Monthly'!$I$53</f>
        <v>0</v>
      </c>
      <c r="J54" s="279">
        <f>J17-'BONUS Cashflow Tracker (Monthly'!$J$53</f>
        <v>0</v>
      </c>
      <c r="K54" s="279">
        <f>K17-'BONUS Cashflow Tracker (Monthly'!$K$53</f>
        <v>0</v>
      </c>
      <c r="L54" s="279">
        <f>L17-'BONUS Cashflow Tracker (Monthly'!$L$53</f>
        <v>0</v>
      </c>
      <c r="M54" s="279">
        <f>M17-'BONUS Cashflow Tracker (Monthly'!$M$53</f>
        <v>0</v>
      </c>
      <c r="N54" s="279">
        <f>N17-'BONUS Cashflow Tracker (Monthly'!$N$53</f>
        <v>0</v>
      </c>
      <c r="O54" s="279">
        <f>O17-'BONUS Cashflow Tracker (Monthly'!$O$53</f>
        <v>0</v>
      </c>
      <c r="P54" s="280"/>
      <c r="Q54" s="210"/>
      <c r="R54" s="210"/>
      <c r="S54" s="210"/>
      <c r="T54" s="210"/>
      <c r="U54" s="210"/>
      <c r="V54" s="210"/>
      <c r="W54" s="210"/>
      <c r="X54" s="210"/>
      <c r="Y54" s="210"/>
      <c r="Z54" s="210"/>
    </row>
    <row r="55" spans="1:26" ht="16.5" customHeight="1" x14ac:dyDescent="0.25">
      <c r="A55" s="210"/>
      <c r="B55" s="241"/>
      <c r="C55" s="270"/>
      <c r="D55" s="270"/>
      <c r="E55" s="270"/>
      <c r="F55" s="270"/>
      <c r="G55" s="270"/>
      <c r="H55" s="270"/>
      <c r="I55" s="270"/>
      <c r="J55" s="270"/>
      <c r="K55" s="270"/>
      <c r="L55" s="270"/>
      <c r="M55" s="270"/>
      <c r="N55" s="270"/>
      <c r="O55" s="270"/>
      <c r="P55" s="270"/>
      <c r="Q55" s="210"/>
      <c r="R55" s="210"/>
      <c r="S55" s="210"/>
      <c r="T55" s="210"/>
      <c r="U55" s="210"/>
      <c r="V55" s="210"/>
      <c r="W55" s="210"/>
      <c r="X55" s="210"/>
      <c r="Y55" s="210"/>
      <c r="Z55" s="210"/>
    </row>
    <row r="56" spans="1:26" ht="16.5" customHeight="1" x14ac:dyDescent="0.25">
      <c r="A56" s="210"/>
      <c r="B56" s="281" t="s">
        <v>653</v>
      </c>
      <c r="C56" s="282" t="s">
        <v>652</v>
      </c>
      <c r="D56" s="236">
        <f t="shared" ref="D56:O56" si="8">D19</f>
        <v>45322</v>
      </c>
      <c r="E56" s="236">
        <f t="shared" si="8"/>
        <v>45323</v>
      </c>
      <c r="F56" s="236">
        <f t="shared" si="8"/>
        <v>45352</v>
      </c>
      <c r="G56" s="236">
        <f t="shared" si="8"/>
        <v>45383</v>
      </c>
      <c r="H56" s="236">
        <f t="shared" si="8"/>
        <v>45413</v>
      </c>
      <c r="I56" s="236">
        <f t="shared" si="8"/>
        <v>45444</v>
      </c>
      <c r="J56" s="236">
        <f t="shared" si="8"/>
        <v>45474</v>
      </c>
      <c r="K56" s="236">
        <f t="shared" si="8"/>
        <v>45505</v>
      </c>
      <c r="L56" s="236">
        <f t="shared" si="8"/>
        <v>45536</v>
      </c>
      <c r="M56" s="236">
        <f t="shared" si="8"/>
        <v>45566</v>
      </c>
      <c r="N56" s="236">
        <f t="shared" si="8"/>
        <v>45597</v>
      </c>
      <c r="O56" s="236">
        <f t="shared" si="8"/>
        <v>45627</v>
      </c>
      <c r="P56" s="283" t="s">
        <v>650</v>
      </c>
      <c r="Q56" s="210"/>
      <c r="R56" s="210"/>
      <c r="S56" s="210"/>
      <c r="T56" s="210"/>
      <c r="U56" s="210"/>
      <c r="V56" s="210"/>
      <c r="W56" s="210"/>
      <c r="X56" s="210"/>
      <c r="Y56" s="210"/>
      <c r="Z56" s="210"/>
    </row>
    <row r="57" spans="1:26" ht="16.5" customHeight="1" x14ac:dyDescent="0.25">
      <c r="A57" s="210"/>
      <c r="B57" s="284" t="s">
        <v>654</v>
      </c>
      <c r="C57" s="285"/>
      <c r="D57" s="286"/>
      <c r="E57" s="248"/>
      <c r="F57" s="248"/>
      <c r="G57" s="248"/>
      <c r="H57" s="248"/>
      <c r="I57" s="248"/>
      <c r="J57" s="248"/>
      <c r="K57" s="248"/>
      <c r="L57" s="248"/>
      <c r="M57" s="248"/>
      <c r="N57" s="248"/>
      <c r="O57" s="248"/>
      <c r="P57" s="287">
        <f>SUM('BONUS Cashflow Tracker (Monthly'!$D57:$O57)</f>
        <v>0</v>
      </c>
      <c r="Q57" s="210"/>
      <c r="R57" s="210"/>
      <c r="S57" s="210"/>
      <c r="T57" s="210"/>
      <c r="U57" s="210"/>
      <c r="V57" s="210"/>
      <c r="W57" s="210"/>
      <c r="X57" s="210"/>
      <c r="Y57" s="210"/>
      <c r="Z57" s="210"/>
    </row>
    <row r="58" spans="1:26" ht="16.5" customHeight="1" x14ac:dyDescent="0.25">
      <c r="A58" s="210"/>
      <c r="B58" s="288" t="s">
        <v>655</v>
      </c>
      <c r="C58" s="289"/>
      <c r="D58" s="290"/>
      <c r="E58" s="250"/>
      <c r="F58" s="250"/>
      <c r="G58" s="250"/>
      <c r="H58" s="250"/>
      <c r="I58" s="250"/>
      <c r="J58" s="250"/>
      <c r="K58" s="250"/>
      <c r="L58" s="250"/>
      <c r="M58" s="250"/>
      <c r="N58" s="250"/>
      <c r="O58" s="250"/>
      <c r="P58" s="291">
        <f>SUM('BONUS Cashflow Tracker (Monthly'!$C58:$O58)</f>
        <v>0</v>
      </c>
      <c r="Q58" s="210"/>
      <c r="R58" s="210"/>
      <c r="S58" s="210"/>
      <c r="T58" s="210"/>
      <c r="U58" s="210"/>
      <c r="V58" s="210"/>
      <c r="W58" s="210"/>
      <c r="X58" s="210"/>
      <c r="Y58" s="210"/>
      <c r="Z58" s="210"/>
    </row>
    <row r="59" spans="1:26" ht="16.5" customHeight="1" x14ac:dyDescent="0.25">
      <c r="A59" s="210"/>
      <c r="B59" s="288" t="s">
        <v>656</v>
      </c>
      <c r="C59" s="289"/>
      <c r="D59" s="290"/>
      <c r="E59" s="250"/>
      <c r="F59" s="250"/>
      <c r="G59" s="250"/>
      <c r="H59" s="250"/>
      <c r="I59" s="250"/>
      <c r="J59" s="250"/>
      <c r="K59" s="250"/>
      <c r="L59" s="250"/>
      <c r="M59" s="250"/>
      <c r="N59" s="250"/>
      <c r="O59" s="250"/>
      <c r="P59" s="291">
        <f>SUM('BONUS Cashflow Tracker (Monthly'!$C59:$O59)</f>
        <v>0</v>
      </c>
      <c r="Q59" s="210"/>
      <c r="R59" s="210"/>
      <c r="S59" s="210"/>
      <c r="T59" s="210"/>
      <c r="U59" s="210"/>
      <c r="V59" s="210"/>
      <c r="W59" s="210"/>
      <c r="X59" s="210"/>
      <c r="Y59" s="210"/>
      <c r="Z59" s="210"/>
    </row>
    <row r="60" spans="1:26" ht="16.5" customHeight="1" x14ac:dyDescent="0.25">
      <c r="A60" s="210"/>
      <c r="B60" s="288" t="s">
        <v>657</v>
      </c>
      <c r="C60" s="289"/>
      <c r="D60" s="290"/>
      <c r="E60" s="250"/>
      <c r="F60" s="250"/>
      <c r="G60" s="250"/>
      <c r="H60" s="250"/>
      <c r="I60" s="250"/>
      <c r="J60" s="250"/>
      <c r="K60" s="250"/>
      <c r="L60" s="250"/>
      <c r="M60" s="250"/>
      <c r="N60" s="250"/>
      <c r="O60" s="250"/>
      <c r="P60" s="291">
        <f>SUM('BONUS Cashflow Tracker (Monthly'!$C60:$O60)</f>
        <v>0</v>
      </c>
      <c r="Q60" s="210"/>
      <c r="R60" s="210"/>
      <c r="S60" s="210"/>
      <c r="T60" s="210"/>
      <c r="U60" s="210"/>
      <c r="V60" s="210"/>
      <c r="W60" s="210"/>
      <c r="X60" s="210"/>
      <c r="Y60" s="210"/>
      <c r="Z60" s="210"/>
    </row>
    <row r="61" spans="1:26" ht="16.5" customHeight="1" x14ac:dyDescent="0.25">
      <c r="A61" s="210"/>
      <c r="B61" s="288" t="s">
        <v>658</v>
      </c>
      <c r="C61" s="289"/>
      <c r="D61" s="290"/>
      <c r="E61" s="250"/>
      <c r="F61" s="250"/>
      <c r="G61" s="250"/>
      <c r="H61" s="250"/>
      <c r="I61" s="250"/>
      <c r="J61" s="250"/>
      <c r="K61" s="250"/>
      <c r="L61" s="250"/>
      <c r="M61" s="250"/>
      <c r="N61" s="250"/>
      <c r="O61" s="250"/>
      <c r="P61" s="291">
        <f>SUM('BONUS Cashflow Tracker (Monthly'!$C61:$O61)</f>
        <v>0</v>
      </c>
      <c r="Q61" s="210"/>
      <c r="R61" s="210"/>
      <c r="S61" s="210"/>
      <c r="T61" s="210"/>
      <c r="U61" s="210"/>
      <c r="V61" s="210"/>
      <c r="W61" s="210"/>
      <c r="X61" s="210"/>
      <c r="Y61" s="210"/>
      <c r="Z61" s="210"/>
    </row>
    <row r="62" spans="1:26" ht="16.5" customHeight="1" x14ac:dyDescent="0.25">
      <c r="A62" s="210"/>
      <c r="B62" s="288" t="s">
        <v>659</v>
      </c>
      <c r="C62" s="292"/>
      <c r="D62" s="290"/>
      <c r="E62" s="250"/>
      <c r="F62" s="250"/>
      <c r="G62" s="250"/>
      <c r="H62" s="250"/>
      <c r="I62" s="250"/>
      <c r="J62" s="250"/>
      <c r="K62" s="250"/>
      <c r="L62" s="250"/>
      <c r="M62" s="250"/>
      <c r="N62" s="250"/>
      <c r="O62" s="250"/>
      <c r="P62" s="291">
        <f>SUM('BONUS Cashflow Tracker (Monthly'!$D62:$O62)</f>
        <v>0</v>
      </c>
      <c r="Q62" s="210"/>
      <c r="R62" s="210"/>
      <c r="S62" s="210"/>
      <c r="T62" s="210"/>
      <c r="U62" s="210"/>
      <c r="V62" s="210"/>
      <c r="W62" s="210"/>
      <c r="X62" s="210"/>
      <c r="Y62" s="210"/>
      <c r="Z62" s="210"/>
    </row>
    <row r="63" spans="1:26" ht="9.75" customHeight="1" x14ac:dyDescent="0.25">
      <c r="A63" s="210"/>
      <c r="B63" s="210"/>
      <c r="C63" s="210"/>
      <c r="D63" s="210"/>
      <c r="E63" s="210"/>
      <c r="F63" s="210"/>
      <c r="G63" s="210"/>
      <c r="H63" s="210"/>
      <c r="I63" s="210"/>
      <c r="J63" s="210"/>
      <c r="K63" s="210"/>
      <c r="L63" s="210"/>
      <c r="M63" s="210"/>
      <c r="N63" s="210"/>
      <c r="O63" s="210"/>
      <c r="P63" s="210"/>
      <c r="Q63" s="210"/>
      <c r="R63" s="210"/>
      <c r="S63" s="210"/>
      <c r="T63" s="210"/>
      <c r="U63" s="210"/>
      <c r="V63" s="210"/>
      <c r="W63" s="210"/>
      <c r="X63" s="210"/>
      <c r="Y63" s="210"/>
      <c r="Z63" s="210"/>
    </row>
    <row r="64" spans="1:26" ht="9.75" customHeight="1" x14ac:dyDescent="0.25">
      <c r="A64" s="210"/>
      <c r="B64" s="210"/>
      <c r="C64" s="210"/>
      <c r="D64" s="210"/>
      <c r="E64" s="210"/>
      <c r="F64" s="210"/>
      <c r="G64" s="210"/>
      <c r="H64" s="210"/>
      <c r="I64" s="210"/>
      <c r="J64" s="210"/>
      <c r="K64" s="210"/>
      <c r="L64" s="210"/>
      <c r="M64" s="210"/>
      <c r="N64" s="210"/>
      <c r="O64" s="210"/>
      <c r="P64" s="210"/>
      <c r="Q64" s="210"/>
      <c r="R64" s="210"/>
      <c r="S64" s="210"/>
      <c r="T64" s="210"/>
      <c r="U64" s="210"/>
      <c r="V64" s="210"/>
      <c r="W64" s="210"/>
      <c r="X64" s="210"/>
      <c r="Y64" s="210"/>
      <c r="Z64" s="210"/>
    </row>
    <row r="65" spans="1:26" ht="9.75" customHeight="1" x14ac:dyDescent="0.25">
      <c r="A65" s="210"/>
      <c r="B65" s="210"/>
      <c r="C65" s="210"/>
      <c r="D65" s="210"/>
      <c r="E65" s="210"/>
      <c r="F65" s="210"/>
      <c r="G65" s="210"/>
      <c r="H65" s="210"/>
      <c r="I65" s="210"/>
      <c r="J65" s="210"/>
      <c r="K65" s="210"/>
      <c r="L65" s="210"/>
      <c r="M65" s="210"/>
      <c r="N65" s="210"/>
      <c r="O65" s="210"/>
      <c r="P65" s="210"/>
      <c r="Q65" s="210"/>
      <c r="R65" s="210"/>
      <c r="S65" s="210"/>
      <c r="T65" s="210"/>
      <c r="U65" s="210"/>
      <c r="V65" s="210"/>
      <c r="W65" s="210"/>
      <c r="X65" s="210"/>
      <c r="Y65" s="210"/>
      <c r="Z65" s="210"/>
    </row>
    <row r="66" spans="1:26" ht="9.75" customHeight="1" x14ac:dyDescent="0.25">
      <c r="A66" s="210"/>
      <c r="B66" s="210"/>
      <c r="C66" s="210"/>
      <c r="D66" s="210"/>
      <c r="E66" s="210"/>
      <c r="F66" s="210"/>
      <c r="G66" s="210"/>
      <c r="H66" s="210"/>
      <c r="I66" s="210"/>
      <c r="J66" s="210"/>
      <c r="K66" s="210"/>
      <c r="L66" s="210"/>
      <c r="M66" s="210"/>
      <c r="N66" s="210"/>
      <c r="O66" s="210"/>
      <c r="P66" s="210"/>
      <c r="Q66" s="210"/>
      <c r="R66" s="210"/>
      <c r="S66" s="210"/>
      <c r="T66" s="210"/>
      <c r="U66" s="210"/>
      <c r="V66" s="210"/>
      <c r="W66" s="210"/>
      <c r="X66" s="210"/>
      <c r="Y66" s="210"/>
      <c r="Z66" s="210"/>
    </row>
    <row r="67" spans="1:26" ht="9.75" customHeight="1" x14ac:dyDescent="0.25">
      <c r="A67" s="210"/>
      <c r="B67" s="210"/>
      <c r="C67" s="210"/>
      <c r="D67" s="210"/>
      <c r="E67" s="210"/>
      <c r="F67" s="210"/>
      <c r="G67" s="210"/>
      <c r="H67" s="210"/>
      <c r="I67" s="210"/>
      <c r="J67" s="210"/>
      <c r="K67" s="210"/>
      <c r="L67" s="210"/>
      <c r="M67" s="210"/>
      <c r="N67" s="210"/>
      <c r="O67" s="210"/>
      <c r="P67" s="210"/>
      <c r="Q67" s="210"/>
      <c r="R67" s="210"/>
      <c r="S67" s="210"/>
      <c r="T67" s="210"/>
      <c r="U67" s="210"/>
      <c r="V67" s="210"/>
      <c r="W67" s="210"/>
      <c r="X67" s="210"/>
      <c r="Y67" s="210"/>
      <c r="Z67" s="210"/>
    </row>
    <row r="68" spans="1:26" ht="9.75" customHeight="1" x14ac:dyDescent="0.25">
      <c r="A68" s="210"/>
      <c r="B68" s="210"/>
      <c r="C68" s="210"/>
      <c r="D68" s="210"/>
      <c r="E68" s="210"/>
      <c r="F68" s="210"/>
      <c r="G68" s="210"/>
      <c r="H68" s="210"/>
      <c r="I68" s="210"/>
      <c r="J68" s="210"/>
      <c r="K68" s="210"/>
      <c r="L68" s="210"/>
      <c r="M68" s="210"/>
      <c r="N68" s="210"/>
      <c r="O68" s="210"/>
      <c r="P68" s="210"/>
      <c r="Q68" s="210"/>
      <c r="R68" s="210"/>
      <c r="S68" s="210"/>
      <c r="T68" s="210"/>
      <c r="U68" s="210"/>
      <c r="V68" s="210"/>
      <c r="W68" s="210"/>
      <c r="X68" s="210"/>
      <c r="Y68" s="210"/>
      <c r="Z68" s="210"/>
    </row>
    <row r="69" spans="1:26" ht="9.75" customHeight="1" x14ac:dyDescent="0.25">
      <c r="A69" s="210"/>
      <c r="B69" s="210"/>
      <c r="C69" s="210"/>
      <c r="D69" s="210"/>
      <c r="E69" s="210"/>
      <c r="F69" s="210"/>
      <c r="G69" s="210"/>
      <c r="H69" s="210"/>
      <c r="I69" s="210"/>
      <c r="J69" s="210"/>
      <c r="K69" s="210"/>
      <c r="L69" s="210"/>
      <c r="M69" s="210"/>
      <c r="N69" s="210"/>
      <c r="O69" s="210"/>
      <c r="P69" s="210"/>
      <c r="Q69" s="210"/>
      <c r="R69" s="210"/>
      <c r="S69" s="210"/>
      <c r="T69" s="210"/>
      <c r="U69" s="210"/>
      <c r="V69" s="210"/>
      <c r="W69" s="210"/>
      <c r="X69" s="210"/>
      <c r="Y69" s="210"/>
      <c r="Z69" s="210"/>
    </row>
    <row r="70" spans="1:26" ht="9.75" customHeight="1" x14ac:dyDescent="0.25">
      <c r="A70" s="210"/>
      <c r="B70" s="210"/>
      <c r="C70" s="210"/>
      <c r="D70" s="210"/>
      <c r="E70" s="210"/>
      <c r="F70" s="210"/>
      <c r="G70" s="210"/>
      <c r="H70" s="210"/>
      <c r="I70" s="210"/>
      <c r="J70" s="210"/>
      <c r="K70" s="210"/>
      <c r="L70" s="210"/>
      <c r="M70" s="210"/>
      <c r="N70" s="210"/>
      <c r="O70" s="210"/>
      <c r="P70" s="210"/>
      <c r="Q70" s="210"/>
      <c r="R70" s="210"/>
      <c r="S70" s="210"/>
      <c r="T70" s="210"/>
      <c r="U70" s="210"/>
      <c r="V70" s="210"/>
      <c r="W70" s="210"/>
      <c r="X70" s="210"/>
      <c r="Y70" s="210"/>
      <c r="Z70" s="210"/>
    </row>
    <row r="71" spans="1:26" ht="9.75" customHeight="1" x14ac:dyDescent="0.25">
      <c r="A71" s="210"/>
      <c r="B71" s="210"/>
      <c r="C71" s="210"/>
      <c r="D71" s="210"/>
      <c r="E71" s="210"/>
      <c r="F71" s="210"/>
      <c r="G71" s="210"/>
      <c r="H71" s="210"/>
      <c r="I71" s="210"/>
      <c r="J71" s="210"/>
      <c r="K71" s="210"/>
      <c r="L71" s="210"/>
      <c r="M71" s="210"/>
      <c r="N71" s="210"/>
      <c r="O71" s="210"/>
      <c r="P71" s="210"/>
      <c r="Q71" s="210"/>
      <c r="R71" s="210"/>
      <c r="S71" s="210"/>
      <c r="T71" s="210"/>
      <c r="U71" s="210"/>
      <c r="V71" s="210"/>
      <c r="W71" s="210"/>
      <c r="X71" s="210"/>
      <c r="Y71" s="210"/>
      <c r="Z71" s="210"/>
    </row>
    <row r="72" spans="1:26" ht="9.75" customHeight="1" x14ac:dyDescent="0.25">
      <c r="A72" s="210"/>
      <c r="B72" s="210"/>
      <c r="C72" s="210"/>
      <c r="D72" s="210"/>
      <c r="E72" s="210"/>
      <c r="F72" s="210"/>
      <c r="G72" s="210"/>
      <c r="H72" s="210"/>
      <c r="I72" s="210"/>
      <c r="J72" s="210"/>
      <c r="K72" s="210"/>
      <c r="L72" s="210"/>
      <c r="M72" s="210"/>
      <c r="N72" s="210"/>
      <c r="O72" s="210"/>
      <c r="P72" s="210"/>
      <c r="Q72" s="210"/>
      <c r="R72" s="210"/>
      <c r="S72" s="210"/>
      <c r="T72" s="210"/>
      <c r="U72" s="210"/>
      <c r="V72" s="210"/>
      <c r="W72" s="210"/>
      <c r="X72" s="210"/>
      <c r="Y72" s="210"/>
      <c r="Z72" s="210"/>
    </row>
    <row r="73" spans="1:26" ht="9.75" customHeight="1" x14ac:dyDescent="0.25">
      <c r="A73" s="210"/>
      <c r="B73" s="210"/>
      <c r="C73" s="210"/>
      <c r="D73" s="210"/>
      <c r="E73" s="210"/>
      <c r="F73" s="210"/>
      <c r="G73" s="210"/>
      <c r="H73" s="210"/>
      <c r="I73" s="210"/>
      <c r="J73" s="210"/>
      <c r="K73" s="210"/>
      <c r="L73" s="210"/>
      <c r="M73" s="210"/>
      <c r="N73" s="210"/>
      <c r="O73" s="210"/>
      <c r="P73" s="210"/>
      <c r="Q73" s="210"/>
      <c r="R73" s="210"/>
      <c r="S73" s="210"/>
      <c r="T73" s="210"/>
      <c r="U73" s="210"/>
      <c r="V73" s="210"/>
      <c r="W73" s="210"/>
      <c r="X73" s="210"/>
      <c r="Y73" s="210"/>
      <c r="Z73" s="210"/>
    </row>
    <row r="74" spans="1:26" ht="9.75" customHeight="1" x14ac:dyDescent="0.25">
      <c r="A74" s="210"/>
      <c r="B74" s="210"/>
      <c r="C74" s="210"/>
      <c r="D74" s="210"/>
      <c r="E74" s="210"/>
      <c r="F74" s="210"/>
      <c r="G74" s="210"/>
      <c r="H74" s="210"/>
      <c r="I74" s="210"/>
      <c r="J74" s="210"/>
      <c r="K74" s="210"/>
      <c r="L74" s="210"/>
      <c r="M74" s="210"/>
      <c r="N74" s="210"/>
      <c r="O74" s="210"/>
      <c r="P74" s="210"/>
      <c r="Q74" s="210"/>
      <c r="R74" s="210"/>
      <c r="S74" s="210"/>
      <c r="T74" s="210"/>
      <c r="U74" s="210"/>
      <c r="V74" s="210"/>
      <c r="W74" s="210"/>
      <c r="X74" s="210"/>
      <c r="Y74" s="210"/>
      <c r="Z74" s="210"/>
    </row>
    <row r="75" spans="1:26" ht="9.75" customHeight="1" x14ac:dyDescent="0.25">
      <c r="A75" s="210"/>
      <c r="B75" s="210"/>
      <c r="C75" s="210"/>
      <c r="D75" s="210"/>
      <c r="E75" s="210"/>
      <c r="F75" s="210"/>
      <c r="G75" s="210"/>
      <c r="H75" s="210"/>
      <c r="I75" s="210"/>
      <c r="J75" s="210"/>
      <c r="K75" s="210"/>
      <c r="L75" s="210"/>
      <c r="M75" s="210"/>
      <c r="N75" s="210"/>
      <c r="O75" s="210"/>
      <c r="P75" s="210"/>
      <c r="Q75" s="210"/>
      <c r="R75" s="210"/>
      <c r="S75" s="210"/>
      <c r="T75" s="210"/>
      <c r="U75" s="210"/>
      <c r="V75" s="210"/>
      <c r="W75" s="210"/>
      <c r="X75" s="210"/>
      <c r="Y75" s="210"/>
      <c r="Z75" s="210"/>
    </row>
    <row r="76" spans="1:26" ht="9.75" customHeight="1" x14ac:dyDescent="0.25">
      <c r="A76" s="210"/>
      <c r="B76" s="210"/>
      <c r="C76" s="210"/>
      <c r="D76" s="210"/>
      <c r="E76" s="210"/>
      <c r="F76" s="210"/>
      <c r="G76" s="210"/>
      <c r="H76" s="210"/>
      <c r="I76" s="210"/>
      <c r="J76" s="210"/>
      <c r="K76" s="210"/>
      <c r="L76" s="210"/>
      <c r="M76" s="210"/>
      <c r="N76" s="210"/>
      <c r="O76" s="210"/>
      <c r="P76" s="210"/>
      <c r="Q76" s="210"/>
      <c r="R76" s="210"/>
      <c r="S76" s="210"/>
      <c r="T76" s="210"/>
      <c r="U76" s="210"/>
      <c r="V76" s="210"/>
      <c r="W76" s="210"/>
      <c r="X76" s="210"/>
      <c r="Y76" s="210"/>
      <c r="Z76" s="210"/>
    </row>
    <row r="77" spans="1:26" ht="9.75" customHeight="1" x14ac:dyDescent="0.25">
      <c r="A77" s="210"/>
      <c r="B77" s="210"/>
      <c r="C77" s="210"/>
      <c r="D77" s="210"/>
      <c r="E77" s="210"/>
      <c r="F77" s="210"/>
      <c r="G77" s="210"/>
      <c r="H77" s="210"/>
      <c r="I77" s="210"/>
      <c r="J77" s="210"/>
      <c r="K77" s="210"/>
      <c r="L77" s="210"/>
      <c r="M77" s="210"/>
      <c r="N77" s="210"/>
      <c r="O77" s="210"/>
      <c r="P77" s="210"/>
      <c r="Q77" s="210"/>
      <c r="R77" s="210"/>
      <c r="S77" s="210"/>
      <c r="T77" s="210"/>
      <c r="U77" s="210"/>
      <c r="V77" s="210"/>
      <c r="W77" s="210"/>
      <c r="X77" s="210"/>
      <c r="Y77" s="210"/>
      <c r="Z77" s="210"/>
    </row>
    <row r="78" spans="1:26" ht="9.75" customHeight="1" x14ac:dyDescent="0.25">
      <c r="A78" s="210"/>
      <c r="B78" s="210"/>
      <c r="C78" s="210"/>
      <c r="D78" s="210"/>
      <c r="E78" s="210"/>
      <c r="F78" s="210"/>
      <c r="G78" s="210"/>
      <c r="H78" s="210"/>
      <c r="I78" s="210"/>
      <c r="J78" s="210"/>
      <c r="K78" s="210"/>
      <c r="L78" s="210"/>
      <c r="M78" s="210"/>
      <c r="N78" s="210"/>
      <c r="O78" s="210"/>
      <c r="P78" s="210"/>
      <c r="Q78" s="210"/>
      <c r="R78" s="210"/>
      <c r="S78" s="210"/>
      <c r="T78" s="210"/>
      <c r="U78" s="210"/>
      <c r="V78" s="210"/>
      <c r="W78" s="210"/>
      <c r="X78" s="210"/>
      <c r="Y78" s="210"/>
      <c r="Z78" s="210"/>
    </row>
    <row r="79" spans="1:26" ht="9.75" customHeight="1" x14ac:dyDescent="0.25">
      <c r="A79" s="210"/>
      <c r="B79" s="210"/>
      <c r="C79" s="210"/>
      <c r="D79" s="210"/>
      <c r="E79" s="210"/>
      <c r="F79" s="210"/>
      <c r="G79" s="210"/>
      <c r="H79" s="210"/>
      <c r="I79" s="210"/>
      <c r="J79" s="210"/>
      <c r="K79" s="210"/>
      <c r="L79" s="210"/>
      <c r="M79" s="210"/>
      <c r="N79" s="210"/>
      <c r="O79" s="210"/>
      <c r="P79" s="210"/>
      <c r="Q79" s="210"/>
      <c r="R79" s="210"/>
      <c r="S79" s="210"/>
      <c r="T79" s="210"/>
      <c r="U79" s="210"/>
      <c r="V79" s="210"/>
      <c r="W79" s="210"/>
      <c r="X79" s="210"/>
      <c r="Y79" s="210"/>
      <c r="Z79" s="210"/>
    </row>
    <row r="80" spans="1:26" ht="9.75" customHeight="1" x14ac:dyDescent="0.25">
      <c r="A80" s="210"/>
      <c r="B80" s="210"/>
      <c r="C80" s="210"/>
      <c r="D80" s="210"/>
      <c r="E80" s="210"/>
      <c r="F80" s="210"/>
      <c r="G80" s="210"/>
      <c r="H80" s="210"/>
      <c r="I80" s="210"/>
      <c r="J80" s="210"/>
      <c r="K80" s="210"/>
      <c r="L80" s="210"/>
      <c r="M80" s="210"/>
      <c r="N80" s="210"/>
      <c r="O80" s="210"/>
      <c r="P80" s="210"/>
      <c r="Q80" s="210"/>
      <c r="R80" s="210"/>
      <c r="S80" s="210"/>
      <c r="T80" s="210"/>
      <c r="U80" s="210"/>
      <c r="V80" s="210"/>
      <c r="W80" s="210"/>
      <c r="X80" s="210"/>
      <c r="Y80" s="210"/>
      <c r="Z80" s="210"/>
    </row>
    <row r="81" spans="1:26" ht="9.75" customHeight="1" x14ac:dyDescent="0.25">
      <c r="A81" s="210"/>
      <c r="B81" s="210"/>
      <c r="C81" s="210"/>
      <c r="D81" s="210"/>
      <c r="E81" s="210"/>
      <c r="F81" s="210"/>
      <c r="G81" s="210"/>
      <c r="H81" s="210"/>
      <c r="I81" s="210"/>
      <c r="J81" s="210"/>
      <c r="K81" s="210"/>
      <c r="L81" s="210"/>
      <c r="M81" s="210"/>
      <c r="N81" s="210"/>
      <c r="O81" s="210"/>
      <c r="P81" s="210"/>
      <c r="Q81" s="210"/>
      <c r="R81" s="210"/>
      <c r="S81" s="210"/>
      <c r="T81" s="210"/>
      <c r="U81" s="210"/>
      <c r="V81" s="210"/>
      <c r="W81" s="210"/>
      <c r="X81" s="210"/>
      <c r="Y81" s="210"/>
      <c r="Z81" s="210"/>
    </row>
    <row r="82" spans="1:26" ht="9.75" customHeight="1" x14ac:dyDescent="0.25">
      <c r="A82" s="210"/>
      <c r="B82" s="210"/>
      <c r="C82" s="210"/>
      <c r="D82" s="210"/>
      <c r="E82" s="210"/>
      <c r="F82" s="210"/>
      <c r="G82" s="210"/>
      <c r="H82" s="210"/>
      <c r="I82" s="210"/>
      <c r="J82" s="210"/>
      <c r="K82" s="210"/>
      <c r="L82" s="210"/>
      <c r="M82" s="210"/>
      <c r="N82" s="210"/>
      <c r="O82" s="210"/>
      <c r="P82" s="210"/>
      <c r="Q82" s="210"/>
      <c r="R82" s="210"/>
      <c r="S82" s="210"/>
      <c r="T82" s="210"/>
      <c r="U82" s="210"/>
      <c r="V82" s="210"/>
      <c r="W82" s="210"/>
      <c r="X82" s="210"/>
      <c r="Y82" s="210"/>
      <c r="Z82" s="210"/>
    </row>
    <row r="83" spans="1:26" ht="9.75" customHeight="1" x14ac:dyDescent="0.25">
      <c r="A83" s="210"/>
      <c r="B83" s="210"/>
      <c r="C83" s="210"/>
      <c r="D83" s="210"/>
      <c r="E83" s="210"/>
      <c r="F83" s="210"/>
      <c r="G83" s="210"/>
      <c r="H83" s="210"/>
      <c r="I83" s="210"/>
      <c r="J83" s="210"/>
      <c r="K83" s="210"/>
      <c r="L83" s="210"/>
      <c r="M83" s="210"/>
      <c r="N83" s="210"/>
      <c r="O83" s="210"/>
      <c r="P83" s="210"/>
      <c r="Q83" s="210"/>
      <c r="R83" s="210"/>
      <c r="S83" s="210"/>
      <c r="T83" s="210"/>
      <c r="U83" s="210"/>
      <c r="V83" s="210"/>
      <c r="W83" s="210"/>
      <c r="X83" s="210"/>
      <c r="Y83" s="210"/>
      <c r="Z83" s="210"/>
    </row>
    <row r="84" spans="1:26" ht="9.75" customHeight="1" x14ac:dyDescent="0.25">
      <c r="A84" s="210"/>
      <c r="B84" s="210"/>
      <c r="C84" s="210"/>
      <c r="D84" s="210"/>
      <c r="E84" s="210"/>
      <c r="F84" s="210"/>
      <c r="G84" s="210"/>
      <c r="H84" s="210"/>
      <c r="I84" s="210"/>
      <c r="J84" s="210"/>
      <c r="K84" s="210"/>
      <c r="L84" s="210"/>
      <c r="M84" s="210"/>
      <c r="N84" s="210"/>
      <c r="O84" s="210"/>
      <c r="P84" s="210"/>
      <c r="Q84" s="210"/>
      <c r="R84" s="210"/>
      <c r="S84" s="210"/>
      <c r="T84" s="210"/>
      <c r="U84" s="210"/>
      <c r="V84" s="210"/>
      <c r="W84" s="210"/>
      <c r="X84" s="210"/>
      <c r="Y84" s="210"/>
      <c r="Z84" s="210"/>
    </row>
    <row r="85" spans="1:26" ht="9.75" customHeight="1" x14ac:dyDescent="0.25">
      <c r="A85" s="210"/>
      <c r="B85" s="210"/>
      <c r="C85" s="210"/>
      <c r="D85" s="210"/>
      <c r="E85" s="210"/>
      <c r="F85" s="210"/>
      <c r="G85" s="210"/>
      <c r="H85" s="210"/>
      <c r="I85" s="210"/>
      <c r="J85" s="210"/>
      <c r="K85" s="210"/>
      <c r="L85" s="210"/>
      <c r="M85" s="210"/>
      <c r="N85" s="210"/>
      <c r="O85" s="210"/>
      <c r="P85" s="210"/>
      <c r="Q85" s="210"/>
      <c r="R85" s="210"/>
      <c r="S85" s="210"/>
      <c r="T85" s="210"/>
      <c r="U85" s="210"/>
      <c r="V85" s="210"/>
      <c r="W85" s="210"/>
      <c r="X85" s="210"/>
      <c r="Y85" s="210"/>
      <c r="Z85" s="210"/>
    </row>
    <row r="86" spans="1:26" ht="9.75" customHeight="1" x14ac:dyDescent="0.25">
      <c r="A86" s="210"/>
      <c r="B86" s="210"/>
      <c r="C86" s="210"/>
      <c r="D86" s="210"/>
      <c r="E86" s="210"/>
      <c r="F86" s="210"/>
      <c r="G86" s="210"/>
      <c r="H86" s="210"/>
      <c r="I86" s="210"/>
      <c r="J86" s="210"/>
      <c r="K86" s="210"/>
      <c r="L86" s="210"/>
      <c r="M86" s="210"/>
      <c r="N86" s="210"/>
      <c r="O86" s="210"/>
      <c r="P86" s="210"/>
      <c r="Q86" s="210"/>
      <c r="R86" s="210"/>
      <c r="S86" s="210"/>
      <c r="T86" s="210"/>
      <c r="U86" s="210"/>
      <c r="V86" s="210"/>
      <c r="W86" s="210"/>
      <c r="X86" s="210"/>
      <c r="Y86" s="210"/>
      <c r="Z86" s="210"/>
    </row>
    <row r="87" spans="1:26" ht="9.75" customHeight="1" x14ac:dyDescent="0.25">
      <c r="A87" s="210"/>
      <c r="B87" s="210"/>
      <c r="C87" s="210"/>
      <c r="D87" s="210"/>
      <c r="E87" s="210"/>
      <c r="F87" s="210"/>
      <c r="G87" s="210"/>
      <c r="H87" s="210"/>
      <c r="I87" s="210"/>
      <c r="J87" s="210"/>
      <c r="K87" s="210"/>
      <c r="L87" s="210"/>
      <c r="M87" s="210"/>
      <c r="N87" s="210"/>
      <c r="O87" s="210"/>
      <c r="P87" s="210"/>
      <c r="Q87" s="210"/>
      <c r="R87" s="210"/>
      <c r="S87" s="210"/>
      <c r="T87" s="210"/>
      <c r="U87" s="210"/>
      <c r="V87" s="210"/>
      <c r="W87" s="210"/>
      <c r="X87" s="210"/>
      <c r="Y87" s="210"/>
      <c r="Z87" s="210"/>
    </row>
    <row r="88" spans="1:26" ht="9.75" customHeight="1" x14ac:dyDescent="0.25">
      <c r="A88" s="210"/>
      <c r="B88" s="210"/>
      <c r="C88" s="210"/>
      <c r="D88" s="210"/>
      <c r="E88" s="210"/>
      <c r="F88" s="210"/>
      <c r="G88" s="210"/>
      <c r="H88" s="210"/>
      <c r="I88" s="210"/>
      <c r="J88" s="210"/>
      <c r="K88" s="210"/>
      <c r="L88" s="210"/>
      <c r="M88" s="210"/>
      <c r="N88" s="210"/>
      <c r="O88" s="210"/>
      <c r="P88" s="210"/>
      <c r="Q88" s="210"/>
      <c r="R88" s="210"/>
      <c r="S88" s="210"/>
      <c r="T88" s="210"/>
      <c r="U88" s="210"/>
      <c r="V88" s="210"/>
      <c r="W88" s="210"/>
      <c r="X88" s="210"/>
      <c r="Y88" s="210"/>
      <c r="Z88" s="210"/>
    </row>
    <row r="89" spans="1:26" ht="9.75" customHeight="1" x14ac:dyDescent="0.25">
      <c r="A89" s="210"/>
      <c r="B89" s="210"/>
      <c r="C89" s="210"/>
      <c r="D89" s="210"/>
      <c r="E89" s="210"/>
      <c r="F89" s="210"/>
      <c r="G89" s="210"/>
      <c r="H89" s="210"/>
      <c r="I89" s="210"/>
      <c r="J89" s="210"/>
      <c r="K89" s="210"/>
      <c r="L89" s="210"/>
      <c r="M89" s="210"/>
      <c r="N89" s="210"/>
      <c r="O89" s="210"/>
      <c r="P89" s="210"/>
      <c r="Q89" s="210"/>
      <c r="R89" s="210"/>
      <c r="S89" s="210"/>
      <c r="T89" s="210"/>
      <c r="U89" s="210"/>
      <c r="V89" s="210"/>
      <c r="W89" s="210"/>
      <c r="X89" s="210"/>
      <c r="Y89" s="210"/>
      <c r="Z89" s="210"/>
    </row>
    <row r="90" spans="1:26" ht="9.75" customHeight="1" x14ac:dyDescent="0.25">
      <c r="A90" s="210"/>
      <c r="B90" s="210"/>
      <c r="C90" s="210"/>
      <c r="D90" s="210"/>
      <c r="E90" s="210"/>
      <c r="F90" s="210"/>
      <c r="G90" s="210"/>
      <c r="H90" s="210"/>
      <c r="I90" s="210"/>
      <c r="J90" s="210"/>
      <c r="K90" s="210"/>
      <c r="L90" s="210"/>
      <c r="M90" s="210"/>
      <c r="N90" s="210"/>
      <c r="O90" s="210"/>
      <c r="P90" s="210"/>
      <c r="Q90" s="210"/>
      <c r="R90" s="210"/>
      <c r="S90" s="210"/>
      <c r="T90" s="210"/>
      <c r="U90" s="210"/>
      <c r="V90" s="210"/>
      <c r="W90" s="210"/>
      <c r="X90" s="210"/>
      <c r="Y90" s="210"/>
      <c r="Z90" s="210"/>
    </row>
    <row r="91" spans="1:26" ht="9.75" customHeight="1" x14ac:dyDescent="0.25">
      <c r="A91" s="210"/>
      <c r="B91" s="210"/>
      <c r="C91" s="210"/>
      <c r="D91" s="210"/>
      <c r="E91" s="210"/>
      <c r="F91" s="210"/>
      <c r="G91" s="210"/>
      <c r="H91" s="210"/>
      <c r="I91" s="210"/>
      <c r="J91" s="210"/>
      <c r="K91" s="210"/>
      <c r="L91" s="210"/>
      <c r="M91" s="210"/>
      <c r="N91" s="210"/>
      <c r="O91" s="210"/>
      <c r="P91" s="210"/>
      <c r="Q91" s="210"/>
      <c r="R91" s="210"/>
      <c r="S91" s="210"/>
      <c r="T91" s="210"/>
      <c r="U91" s="210"/>
      <c r="V91" s="210"/>
      <c r="W91" s="210"/>
      <c r="X91" s="210"/>
      <c r="Y91" s="210"/>
      <c r="Z91" s="210"/>
    </row>
    <row r="92" spans="1:26" ht="9.75" customHeight="1" x14ac:dyDescent="0.25">
      <c r="A92" s="210"/>
      <c r="B92" s="210"/>
      <c r="C92" s="210"/>
      <c r="D92" s="210"/>
      <c r="E92" s="210"/>
      <c r="F92" s="210"/>
      <c r="G92" s="210"/>
      <c r="H92" s="210"/>
      <c r="I92" s="210"/>
      <c r="J92" s="210"/>
      <c r="K92" s="210"/>
      <c r="L92" s="210"/>
      <c r="M92" s="210"/>
      <c r="N92" s="210"/>
      <c r="O92" s="210"/>
      <c r="P92" s="210"/>
      <c r="Q92" s="210"/>
      <c r="R92" s="210"/>
      <c r="S92" s="210"/>
      <c r="T92" s="210"/>
      <c r="U92" s="210"/>
      <c r="V92" s="210"/>
      <c r="W92" s="210"/>
      <c r="X92" s="210"/>
      <c r="Y92" s="210"/>
      <c r="Z92" s="210"/>
    </row>
    <row r="93" spans="1:26" ht="9.75" customHeight="1" x14ac:dyDescent="0.25">
      <c r="A93" s="210"/>
      <c r="B93" s="210"/>
      <c r="C93" s="210"/>
      <c r="D93" s="210"/>
      <c r="E93" s="210"/>
      <c r="F93" s="210"/>
      <c r="G93" s="210"/>
      <c r="H93" s="210"/>
      <c r="I93" s="210"/>
      <c r="J93" s="210"/>
      <c r="K93" s="210"/>
      <c r="L93" s="210"/>
      <c r="M93" s="210"/>
      <c r="N93" s="210"/>
      <c r="O93" s="210"/>
      <c r="P93" s="210"/>
      <c r="Q93" s="210"/>
      <c r="R93" s="210"/>
      <c r="S93" s="210"/>
      <c r="T93" s="210"/>
      <c r="U93" s="210"/>
      <c r="V93" s="210"/>
      <c r="W93" s="210"/>
      <c r="X93" s="210"/>
      <c r="Y93" s="210"/>
      <c r="Z93" s="210"/>
    </row>
    <row r="94" spans="1:26" ht="9.75" customHeight="1" x14ac:dyDescent="0.25">
      <c r="A94" s="210"/>
      <c r="B94" s="210"/>
      <c r="C94" s="210"/>
      <c r="D94" s="210"/>
      <c r="E94" s="210"/>
      <c r="F94" s="210"/>
      <c r="G94" s="210"/>
      <c r="H94" s="210"/>
      <c r="I94" s="210"/>
      <c r="J94" s="210"/>
      <c r="K94" s="210"/>
      <c r="L94" s="210"/>
      <c r="M94" s="210"/>
      <c r="N94" s="210"/>
      <c r="O94" s="210"/>
      <c r="P94" s="210"/>
      <c r="Q94" s="210"/>
      <c r="R94" s="210"/>
      <c r="S94" s="210"/>
      <c r="T94" s="210"/>
      <c r="U94" s="210"/>
      <c r="V94" s="210"/>
      <c r="W94" s="210"/>
      <c r="X94" s="210"/>
      <c r="Y94" s="210"/>
      <c r="Z94" s="210"/>
    </row>
    <row r="95" spans="1:26" ht="9.75" customHeight="1" x14ac:dyDescent="0.25">
      <c r="A95" s="210"/>
      <c r="B95" s="210"/>
      <c r="C95" s="210"/>
      <c r="D95" s="210"/>
      <c r="E95" s="210"/>
      <c r="F95" s="210"/>
      <c r="G95" s="210"/>
      <c r="H95" s="210"/>
      <c r="I95" s="210"/>
      <c r="J95" s="210"/>
      <c r="K95" s="210"/>
      <c r="L95" s="210"/>
      <c r="M95" s="210"/>
      <c r="N95" s="210"/>
      <c r="O95" s="210"/>
      <c r="P95" s="210"/>
      <c r="Q95" s="210"/>
      <c r="R95" s="210"/>
      <c r="S95" s="210"/>
      <c r="T95" s="210"/>
      <c r="U95" s="210"/>
      <c r="V95" s="210"/>
      <c r="W95" s="210"/>
      <c r="X95" s="210"/>
      <c r="Y95" s="210"/>
      <c r="Z95" s="210"/>
    </row>
    <row r="96" spans="1:26" ht="9.75" customHeight="1" x14ac:dyDescent="0.25">
      <c r="A96" s="210"/>
      <c r="B96" s="210"/>
      <c r="C96" s="210"/>
      <c r="D96" s="210"/>
      <c r="E96" s="210"/>
      <c r="F96" s="210"/>
      <c r="G96" s="210"/>
      <c r="H96" s="210"/>
      <c r="I96" s="210"/>
      <c r="J96" s="210"/>
      <c r="K96" s="210"/>
      <c r="L96" s="210"/>
      <c r="M96" s="210"/>
      <c r="N96" s="210"/>
      <c r="O96" s="210"/>
      <c r="P96" s="210"/>
      <c r="Q96" s="210"/>
      <c r="R96" s="210"/>
      <c r="S96" s="210"/>
      <c r="T96" s="210"/>
      <c r="U96" s="210"/>
      <c r="V96" s="210"/>
      <c r="W96" s="210"/>
      <c r="X96" s="210"/>
      <c r="Y96" s="210"/>
      <c r="Z96" s="210"/>
    </row>
    <row r="97" spans="1:26" ht="9.75" customHeight="1" x14ac:dyDescent="0.25">
      <c r="A97" s="210"/>
      <c r="B97" s="210"/>
      <c r="C97" s="210"/>
      <c r="D97" s="210"/>
      <c r="E97" s="210"/>
      <c r="F97" s="210"/>
      <c r="G97" s="210"/>
      <c r="H97" s="210"/>
      <c r="I97" s="210"/>
      <c r="J97" s="210"/>
      <c r="K97" s="210"/>
      <c r="L97" s="210"/>
      <c r="M97" s="210"/>
      <c r="N97" s="210"/>
      <c r="O97" s="210"/>
      <c r="P97" s="210"/>
      <c r="Q97" s="210"/>
      <c r="R97" s="210"/>
      <c r="S97" s="210"/>
      <c r="T97" s="210"/>
      <c r="U97" s="210"/>
      <c r="V97" s="210"/>
      <c r="W97" s="210"/>
      <c r="X97" s="210"/>
      <c r="Y97" s="210"/>
      <c r="Z97" s="210"/>
    </row>
    <row r="98" spans="1:26" ht="9.75" customHeight="1" x14ac:dyDescent="0.25">
      <c r="A98" s="210"/>
      <c r="B98" s="210"/>
      <c r="C98" s="210"/>
      <c r="D98" s="210"/>
      <c r="E98" s="210"/>
      <c r="F98" s="210"/>
      <c r="G98" s="210"/>
      <c r="H98" s="210"/>
      <c r="I98" s="210"/>
      <c r="J98" s="210"/>
      <c r="K98" s="210"/>
      <c r="L98" s="210"/>
      <c r="M98" s="210"/>
      <c r="N98" s="210"/>
      <c r="O98" s="210"/>
      <c r="P98" s="210"/>
      <c r="Q98" s="210"/>
      <c r="R98" s="210"/>
      <c r="S98" s="210"/>
      <c r="T98" s="210"/>
      <c r="U98" s="210"/>
      <c r="V98" s="210"/>
      <c r="W98" s="210"/>
      <c r="X98" s="210"/>
      <c r="Y98" s="210"/>
      <c r="Z98" s="210"/>
    </row>
    <row r="99" spans="1:26" ht="9.75" customHeight="1" x14ac:dyDescent="0.25">
      <c r="A99" s="210"/>
      <c r="B99" s="210"/>
      <c r="C99" s="210"/>
      <c r="D99" s="210"/>
      <c r="E99" s="210"/>
      <c r="F99" s="210"/>
      <c r="G99" s="210"/>
      <c r="H99" s="210"/>
      <c r="I99" s="210"/>
      <c r="J99" s="210"/>
      <c r="K99" s="210"/>
      <c r="L99" s="210"/>
      <c r="M99" s="210"/>
      <c r="N99" s="210"/>
      <c r="O99" s="210"/>
      <c r="P99" s="210"/>
      <c r="Q99" s="210"/>
      <c r="R99" s="210"/>
      <c r="S99" s="210"/>
      <c r="T99" s="210"/>
      <c r="U99" s="210"/>
      <c r="V99" s="210"/>
      <c r="W99" s="210"/>
      <c r="X99" s="210"/>
      <c r="Y99" s="210"/>
      <c r="Z99" s="210"/>
    </row>
    <row r="100" spans="1:26" ht="9.75" customHeight="1" x14ac:dyDescent="0.25">
      <c r="A100" s="210"/>
      <c r="B100" s="210"/>
      <c r="C100" s="210"/>
      <c r="D100" s="210"/>
      <c r="E100" s="210"/>
      <c r="F100" s="210"/>
      <c r="G100" s="210"/>
      <c r="H100" s="210"/>
      <c r="I100" s="210"/>
      <c r="J100" s="210"/>
      <c r="K100" s="210"/>
      <c r="L100" s="210"/>
      <c r="M100" s="210"/>
      <c r="N100" s="210"/>
      <c r="O100" s="210"/>
      <c r="P100" s="210"/>
      <c r="Q100" s="210"/>
      <c r="R100" s="210"/>
      <c r="S100" s="210"/>
      <c r="T100" s="210"/>
      <c r="U100" s="210"/>
      <c r="V100" s="210"/>
      <c r="W100" s="210"/>
      <c r="X100" s="210"/>
      <c r="Y100" s="210"/>
      <c r="Z100" s="210"/>
    </row>
    <row r="101" spans="1:26" ht="9.75" customHeight="1" x14ac:dyDescent="0.25">
      <c r="A101" s="210"/>
      <c r="B101" s="210"/>
      <c r="C101" s="210"/>
      <c r="D101" s="210"/>
      <c r="E101" s="210"/>
      <c r="F101" s="210"/>
      <c r="G101" s="210"/>
      <c r="H101" s="210"/>
      <c r="I101" s="210"/>
      <c r="J101" s="210"/>
      <c r="K101" s="210"/>
      <c r="L101" s="210"/>
      <c r="M101" s="210"/>
      <c r="N101" s="210"/>
      <c r="O101" s="210"/>
      <c r="P101" s="210"/>
      <c r="Q101" s="210"/>
      <c r="R101" s="210"/>
      <c r="S101" s="210"/>
      <c r="T101" s="210"/>
      <c r="U101" s="210"/>
      <c r="V101" s="210"/>
      <c r="W101" s="210"/>
      <c r="X101" s="210"/>
      <c r="Y101" s="210"/>
      <c r="Z101" s="210"/>
    </row>
    <row r="102" spans="1:26" ht="9.75" customHeight="1" x14ac:dyDescent="0.25">
      <c r="A102" s="210"/>
      <c r="B102" s="210"/>
      <c r="C102" s="210"/>
      <c r="D102" s="210"/>
      <c r="E102" s="210"/>
      <c r="F102" s="210"/>
      <c r="G102" s="210"/>
      <c r="H102" s="210"/>
      <c r="I102" s="210"/>
      <c r="J102" s="210"/>
      <c r="K102" s="210"/>
      <c r="L102" s="210"/>
      <c r="M102" s="210"/>
      <c r="N102" s="210"/>
      <c r="O102" s="210"/>
      <c r="P102" s="210"/>
      <c r="Q102" s="210"/>
      <c r="R102" s="210"/>
      <c r="S102" s="210"/>
      <c r="T102" s="210"/>
      <c r="U102" s="210"/>
      <c r="V102" s="210"/>
      <c r="W102" s="210"/>
      <c r="X102" s="210"/>
      <c r="Y102" s="210"/>
      <c r="Z102" s="210"/>
    </row>
    <row r="103" spans="1:26" ht="9.75" customHeight="1" x14ac:dyDescent="0.25">
      <c r="A103" s="210"/>
      <c r="B103" s="210"/>
      <c r="C103" s="210"/>
      <c r="D103" s="210"/>
      <c r="E103" s="210"/>
      <c r="F103" s="210"/>
      <c r="G103" s="210"/>
      <c r="H103" s="210"/>
      <c r="I103" s="210"/>
      <c r="J103" s="210"/>
      <c r="K103" s="210"/>
      <c r="L103" s="210"/>
      <c r="M103" s="210"/>
      <c r="N103" s="210"/>
      <c r="O103" s="210"/>
      <c r="P103" s="210"/>
      <c r="Q103" s="210"/>
      <c r="R103" s="210"/>
      <c r="S103" s="210"/>
      <c r="T103" s="210"/>
      <c r="U103" s="210"/>
      <c r="V103" s="210"/>
      <c r="W103" s="210"/>
      <c r="X103" s="210"/>
      <c r="Y103" s="210"/>
      <c r="Z103" s="210"/>
    </row>
    <row r="104" spans="1:26" ht="9.75" customHeight="1" x14ac:dyDescent="0.25">
      <c r="A104" s="210"/>
      <c r="B104" s="210"/>
      <c r="C104" s="210"/>
      <c r="D104" s="210"/>
      <c r="E104" s="210"/>
      <c r="F104" s="210"/>
      <c r="G104" s="210"/>
      <c r="H104" s="210"/>
      <c r="I104" s="210"/>
      <c r="J104" s="210"/>
      <c r="K104" s="210"/>
      <c r="L104" s="210"/>
      <c r="M104" s="210"/>
      <c r="N104" s="210"/>
      <c r="O104" s="210"/>
      <c r="P104" s="210"/>
      <c r="Q104" s="210"/>
      <c r="R104" s="210"/>
      <c r="S104" s="210"/>
      <c r="T104" s="210"/>
      <c r="U104" s="210"/>
      <c r="V104" s="210"/>
      <c r="W104" s="210"/>
      <c r="X104" s="210"/>
      <c r="Y104" s="210"/>
      <c r="Z104" s="210"/>
    </row>
    <row r="105" spans="1:26" ht="9.75" customHeight="1" x14ac:dyDescent="0.25">
      <c r="A105" s="210"/>
      <c r="B105" s="210"/>
      <c r="C105" s="210"/>
      <c r="D105" s="210"/>
      <c r="E105" s="210"/>
      <c r="F105" s="210"/>
      <c r="G105" s="210"/>
      <c r="H105" s="210"/>
      <c r="I105" s="210"/>
      <c r="J105" s="210"/>
      <c r="K105" s="210"/>
      <c r="L105" s="210"/>
      <c r="M105" s="210"/>
      <c r="N105" s="210"/>
      <c r="O105" s="210"/>
      <c r="P105" s="210"/>
      <c r="Q105" s="210"/>
      <c r="R105" s="210"/>
      <c r="S105" s="210"/>
      <c r="T105" s="210"/>
      <c r="U105" s="210"/>
      <c r="V105" s="210"/>
      <c r="W105" s="210"/>
      <c r="X105" s="210"/>
      <c r="Y105" s="210"/>
      <c r="Z105" s="210"/>
    </row>
    <row r="106" spans="1:26" ht="9.75" customHeight="1" x14ac:dyDescent="0.25">
      <c r="A106" s="210"/>
      <c r="B106" s="210"/>
      <c r="C106" s="210"/>
      <c r="D106" s="210"/>
      <c r="E106" s="210"/>
      <c r="F106" s="210"/>
      <c r="G106" s="210"/>
      <c r="H106" s="210"/>
      <c r="I106" s="210"/>
      <c r="J106" s="210"/>
      <c r="K106" s="210"/>
      <c r="L106" s="210"/>
      <c r="M106" s="210"/>
      <c r="N106" s="210"/>
      <c r="O106" s="210"/>
      <c r="P106" s="210"/>
      <c r="Q106" s="210"/>
      <c r="R106" s="210"/>
      <c r="S106" s="210"/>
      <c r="T106" s="210"/>
      <c r="U106" s="210"/>
      <c r="V106" s="210"/>
      <c r="W106" s="210"/>
      <c r="X106" s="210"/>
      <c r="Y106" s="210"/>
      <c r="Z106" s="210"/>
    </row>
    <row r="107" spans="1:26" ht="9.75" customHeight="1" x14ac:dyDescent="0.25">
      <c r="A107" s="210"/>
      <c r="B107" s="210"/>
      <c r="C107" s="210"/>
      <c r="D107" s="210"/>
      <c r="E107" s="210"/>
      <c r="F107" s="210"/>
      <c r="G107" s="210"/>
      <c r="H107" s="210"/>
      <c r="I107" s="210"/>
      <c r="J107" s="210"/>
      <c r="K107" s="210"/>
      <c r="L107" s="210"/>
      <c r="M107" s="210"/>
      <c r="N107" s="210"/>
      <c r="O107" s="210"/>
      <c r="P107" s="210"/>
      <c r="Q107" s="210"/>
      <c r="R107" s="210"/>
      <c r="S107" s="210"/>
      <c r="T107" s="210"/>
      <c r="U107" s="210"/>
      <c r="V107" s="210"/>
      <c r="W107" s="210"/>
      <c r="X107" s="210"/>
      <c r="Y107" s="210"/>
      <c r="Z107" s="210"/>
    </row>
    <row r="108" spans="1:26" ht="9.75" customHeight="1" x14ac:dyDescent="0.25">
      <c r="A108" s="210"/>
      <c r="B108" s="210"/>
      <c r="C108" s="210"/>
      <c r="D108" s="210"/>
      <c r="E108" s="210"/>
      <c r="F108" s="210"/>
      <c r="G108" s="210"/>
      <c r="H108" s="210"/>
      <c r="I108" s="210"/>
      <c r="J108" s="210"/>
      <c r="K108" s="210"/>
      <c r="L108" s="210"/>
      <c r="M108" s="210"/>
      <c r="N108" s="210"/>
      <c r="O108" s="210"/>
      <c r="P108" s="210"/>
      <c r="Q108" s="210"/>
      <c r="R108" s="210"/>
      <c r="S108" s="210"/>
      <c r="T108" s="210"/>
      <c r="U108" s="210"/>
      <c r="V108" s="210"/>
      <c r="W108" s="210"/>
      <c r="X108" s="210"/>
      <c r="Y108" s="210"/>
      <c r="Z108" s="210"/>
    </row>
    <row r="109" spans="1:26" ht="9.75" customHeight="1" x14ac:dyDescent="0.25">
      <c r="A109" s="210"/>
      <c r="B109" s="210"/>
      <c r="C109" s="210"/>
      <c r="D109" s="210"/>
      <c r="E109" s="210"/>
      <c r="F109" s="210"/>
      <c r="G109" s="210"/>
      <c r="H109" s="210"/>
      <c r="I109" s="210"/>
      <c r="J109" s="210"/>
      <c r="K109" s="210"/>
      <c r="L109" s="210"/>
      <c r="M109" s="210"/>
      <c r="N109" s="210"/>
      <c r="O109" s="210"/>
      <c r="P109" s="210"/>
      <c r="Q109" s="210"/>
      <c r="R109" s="210"/>
      <c r="S109" s="210"/>
      <c r="T109" s="210"/>
      <c r="U109" s="210"/>
      <c r="V109" s="210"/>
      <c r="W109" s="210"/>
      <c r="X109" s="210"/>
      <c r="Y109" s="210"/>
      <c r="Z109" s="210"/>
    </row>
    <row r="110" spans="1:26" ht="9.75" customHeight="1" x14ac:dyDescent="0.25">
      <c r="A110" s="210"/>
      <c r="B110" s="210"/>
      <c r="C110" s="210"/>
      <c r="D110" s="210"/>
      <c r="E110" s="210"/>
      <c r="F110" s="210"/>
      <c r="G110" s="210"/>
      <c r="H110" s="210"/>
      <c r="I110" s="210"/>
      <c r="J110" s="210"/>
      <c r="K110" s="210"/>
      <c r="L110" s="210"/>
      <c r="M110" s="210"/>
      <c r="N110" s="210"/>
      <c r="O110" s="210"/>
      <c r="P110" s="210"/>
      <c r="Q110" s="210"/>
      <c r="R110" s="210"/>
      <c r="S110" s="210"/>
      <c r="T110" s="210"/>
      <c r="U110" s="210"/>
      <c r="V110" s="210"/>
      <c r="W110" s="210"/>
      <c r="X110" s="210"/>
      <c r="Y110" s="210"/>
      <c r="Z110" s="210"/>
    </row>
    <row r="111" spans="1:26" ht="9.75" customHeight="1" x14ac:dyDescent="0.25">
      <c r="A111" s="210"/>
      <c r="B111" s="210"/>
      <c r="C111" s="210"/>
      <c r="D111" s="210"/>
      <c r="E111" s="210"/>
      <c r="F111" s="210"/>
      <c r="G111" s="210"/>
      <c r="H111" s="210"/>
      <c r="I111" s="210"/>
      <c r="J111" s="210"/>
      <c r="K111" s="210"/>
      <c r="L111" s="210"/>
      <c r="M111" s="210"/>
      <c r="N111" s="210"/>
      <c r="O111" s="210"/>
      <c r="P111" s="210"/>
      <c r="Q111" s="210"/>
      <c r="R111" s="210"/>
      <c r="S111" s="210"/>
      <c r="T111" s="210"/>
      <c r="U111" s="210"/>
      <c r="V111" s="210"/>
      <c r="W111" s="210"/>
      <c r="X111" s="210"/>
      <c r="Y111" s="210"/>
      <c r="Z111" s="210"/>
    </row>
    <row r="112" spans="1:26" ht="9.75" customHeight="1" x14ac:dyDescent="0.25">
      <c r="A112" s="210"/>
      <c r="B112" s="210"/>
      <c r="C112" s="210"/>
      <c r="D112" s="210"/>
      <c r="E112" s="210"/>
      <c r="F112" s="210"/>
      <c r="G112" s="210"/>
      <c r="H112" s="210"/>
      <c r="I112" s="210"/>
      <c r="J112" s="210"/>
      <c r="K112" s="210"/>
      <c r="L112" s="210"/>
      <c r="M112" s="210"/>
      <c r="N112" s="210"/>
      <c r="O112" s="210"/>
      <c r="P112" s="210"/>
      <c r="Q112" s="210"/>
      <c r="R112" s="210"/>
      <c r="S112" s="210"/>
      <c r="T112" s="210"/>
      <c r="U112" s="210"/>
      <c r="V112" s="210"/>
      <c r="W112" s="210"/>
      <c r="X112" s="210"/>
      <c r="Y112" s="210"/>
      <c r="Z112" s="210"/>
    </row>
    <row r="113" spans="1:26" ht="9.75" customHeight="1" x14ac:dyDescent="0.25">
      <c r="A113" s="210"/>
      <c r="B113" s="210"/>
      <c r="C113" s="210"/>
      <c r="D113" s="210"/>
      <c r="E113" s="210"/>
      <c r="F113" s="210"/>
      <c r="G113" s="210"/>
      <c r="H113" s="210"/>
      <c r="I113" s="210"/>
      <c r="J113" s="210"/>
      <c r="K113" s="210"/>
      <c r="L113" s="210"/>
      <c r="M113" s="210"/>
      <c r="N113" s="210"/>
      <c r="O113" s="210"/>
      <c r="P113" s="210"/>
      <c r="Q113" s="210"/>
      <c r="R113" s="210"/>
      <c r="S113" s="210"/>
      <c r="T113" s="210"/>
      <c r="U113" s="210"/>
      <c r="V113" s="210"/>
      <c r="W113" s="210"/>
      <c r="X113" s="210"/>
      <c r="Y113" s="210"/>
      <c r="Z113" s="210"/>
    </row>
    <row r="114" spans="1:26" ht="9.75" customHeight="1" x14ac:dyDescent="0.25">
      <c r="A114" s="210"/>
      <c r="B114" s="210"/>
      <c r="C114" s="210"/>
      <c r="D114" s="210"/>
      <c r="E114" s="210"/>
      <c r="F114" s="210"/>
      <c r="G114" s="210"/>
      <c r="H114" s="210"/>
      <c r="I114" s="210"/>
      <c r="J114" s="210"/>
      <c r="K114" s="210"/>
      <c r="L114" s="210"/>
      <c r="M114" s="210"/>
      <c r="N114" s="210"/>
      <c r="O114" s="210"/>
      <c r="P114" s="210"/>
      <c r="Q114" s="210"/>
      <c r="R114" s="210"/>
      <c r="S114" s="210"/>
      <c r="T114" s="210"/>
      <c r="U114" s="210"/>
      <c r="V114" s="210"/>
      <c r="W114" s="210"/>
      <c r="X114" s="210"/>
      <c r="Y114" s="210"/>
      <c r="Z114" s="210"/>
    </row>
    <row r="115" spans="1:26" ht="9.75" customHeight="1" x14ac:dyDescent="0.25">
      <c r="A115" s="210"/>
      <c r="B115" s="210"/>
      <c r="C115" s="210"/>
      <c r="D115" s="210"/>
      <c r="E115" s="210"/>
      <c r="F115" s="210"/>
      <c r="G115" s="210"/>
      <c r="H115" s="210"/>
      <c r="I115" s="210"/>
      <c r="J115" s="210"/>
      <c r="K115" s="210"/>
      <c r="L115" s="210"/>
      <c r="M115" s="210"/>
      <c r="N115" s="210"/>
      <c r="O115" s="210"/>
      <c r="P115" s="210"/>
      <c r="Q115" s="210"/>
      <c r="R115" s="210"/>
      <c r="S115" s="210"/>
      <c r="T115" s="210"/>
      <c r="U115" s="210"/>
      <c r="V115" s="210"/>
      <c r="W115" s="210"/>
      <c r="X115" s="210"/>
      <c r="Y115" s="210"/>
      <c r="Z115" s="210"/>
    </row>
    <row r="116" spans="1:26" ht="9.75" customHeight="1" x14ac:dyDescent="0.25">
      <c r="A116" s="210"/>
      <c r="B116" s="210"/>
      <c r="C116" s="210"/>
      <c r="D116" s="210"/>
      <c r="E116" s="210"/>
      <c r="F116" s="210"/>
      <c r="G116" s="210"/>
      <c r="H116" s="210"/>
      <c r="I116" s="210"/>
      <c r="J116" s="210"/>
      <c r="K116" s="210"/>
      <c r="L116" s="210"/>
      <c r="M116" s="210"/>
      <c r="N116" s="210"/>
      <c r="O116" s="210"/>
      <c r="P116" s="210"/>
      <c r="Q116" s="210"/>
      <c r="R116" s="210"/>
      <c r="S116" s="210"/>
      <c r="T116" s="210"/>
      <c r="U116" s="210"/>
      <c r="V116" s="210"/>
      <c r="W116" s="210"/>
      <c r="X116" s="210"/>
      <c r="Y116" s="210"/>
      <c r="Z116" s="210"/>
    </row>
    <row r="117" spans="1:26" ht="9.75" customHeight="1" x14ac:dyDescent="0.25">
      <c r="A117" s="210"/>
      <c r="B117" s="210"/>
      <c r="C117" s="210"/>
      <c r="D117" s="210"/>
      <c r="E117" s="210"/>
      <c r="F117" s="210"/>
      <c r="G117" s="210"/>
      <c r="H117" s="210"/>
      <c r="I117" s="210"/>
      <c r="J117" s="210"/>
      <c r="K117" s="210"/>
      <c r="L117" s="210"/>
      <c r="M117" s="210"/>
      <c r="N117" s="210"/>
      <c r="O117" s="210"/>
      <c r="P117" s="210"/>
      <c r="Q117" s="210"/>
      <c r="R117" s="210"/>
      <c r="S117" s="210"/>
      <c r="T117" s="210"/>
      <c r="U117" s="210"/>
      <c r="V117" s="210"/>
      <c r="W117" s="210"/>
      <c r="X117" s="210"/>
      <c r="Y117" s="210"/>
      <c r="Z117" s="210"/>
    </row>
    <row r="118" spans="1:26" ht="9.75" customHeight="1" x14ac:dyDescent="0.25">
      <c r="A118" s="210"/>
      <c r="B118" s="210"/>
      <c r="C118" s="210"/>
      <c r="D118" s="210"/>
      <c r="E118" s="210"/>
      <c r="F118" s="210"/>
      <c r="G118" s="210"/>
      <c r="H118" s="210"/>
      <c r="I118" s="210"/>
      <c r="J118" s="210"/>
      <c r="K118" s="210"/>
      <c r="L118" s="210"/>
      <c r="M118" s="210"/>
      <c r="N118" s="210"/>
      <c r="O118" s="210"/>
      <c r="P118" s="210"/>
      <c r="Q118" s="210"/>
      <c r="R118" s="210"/>
      <c r="S118" s="210"/>
      <c r="T118" s="210"/>
      <c r="U118" s="210"/>
      <c r="V118" s="210"/>
      <c r="W118" s="210"/>
      <c r="X118" s="210"/>
      <c r="Y118" s="210"/>
      <c r="Z118" s="210"/>
    </row>
    <row r="119" spans="1:26" ht="9.75" customHeight="1" x14ac:dyDescent="0.25">
      <c r="A119" s="210"/>
      <c r="B119" s="210"/>
      <c r="C119" s="210"/>
      <c r="D119" s="210"/>
      <c r="E119" s="210"/>
      <c r="F119" s="210"/>
      <c r="G119" s="210"/>
      <c r="H119" s="210"/>
      <c r="I119" s="210"/>
      <c r="J119" s="210"/>
      <c r="K119" s="210"/>
      <c r="L119" s="210"/>
      <c r="M119" s="210"/>
      <c r="N119" s="210"/>
      <c r="O119" s="210"/>
      <c r="P119" s="210"/>
      <c r="Q119" s="210"/>
      <c r="R119" s="210"/>
      <c r="S119" s="210"/>
      <c r="T119" s="210"/>
      <c r="U119" s="210"/>
      <c r="V119" s="210"/>
      <c r="W119" s="210"/>
      <c r="X119" s="210"/>
      <c r="Y119" s="210"/>
      <c r="Z119" s="210"/>
    </row>
    <row r="120" spans="1:26" ht="9.75" customHeight="1" x14ac:dyDescent="0.25">
      <c r="A120" s="210"/>
      <c r="B120" s="210"/>
      <c r="C120" s="210"/>
      <c r="D120" s="210"/>
      <c r="E120" s="210"/>
      <c r="F120" s="210"/>
      <c r="G120" s="210"/>
      <c r="H120" s="210"/>
      <c r="I120" s="210"/>
      <c r="J120" s="210"/>
      <c r="K120" s="210"/>
      <c r="L120" s="210"/>
      <c r="M120" s="210"/>
      <c r="N120" s="210"/>
      <c r="O120" s="210"/>
      <c r="P120" s="210"/>
      <c r="Q120" s="210"/>
      <c r="R120" s="210"/>
      <c r="S120" s="210"/>
      <c r="T120" s="210"/>
      <c r="U120" s="210"/>
      <c r="V120" s="210"/>
      <c r="W120" s="210"/>
      <c r="X120" s="210"/>
      <c r="Y120" s="210"/>
      <c r="Z120" s="210"/>
    </row>
    <row r="121" spans="1:26" ht="9.75" customHeight="1" x14ac:dyDescent="0.25">
      <c r="A121" s="210"/>
      <c r="B121" s="210"/>
      <c r="C121" s="210"/>
      <c r="D121" s="210"/>
      <c r="E121" s="210"/>
      <c r="F121" s="210"/>
      <c r="G121" s="210"/>
      <c r="H121" s="210"/>
      <c r="I121" s="210"/>
      <c r="J121" s="210"/>
      <c r="K121" s="210"/>
      <c r="L121" s="210"/>
      <c r="M121" s="210"/>
      <c r="N121" s="210"/>
      <c r="O121" s="210"/>
      <c r="P121" s="210"/>
      <c r="Q121" s="210"/>
      <c r="R121" s="210"/>
      <c r="S121" s="210"/>
      <c r="T121" s="210"/>
      <c r="U121" s="210"/>
      <c r="V121" s="210"/>
      <c r="W121" s="210"/>
      <c r="X121" s="210"/>
      <c r="Y121" s="210"/>
      <c r="Z121" s="210"/>
    </row>
    <row r="122" spans="1:26" ht="9.75" customHeight="1" x14ac:dyDescent="0.25">
      <c r="A122" s="210"/>
      <c r="B122" s="210"/>
      <c r="C122" s="210"/>
      <c r="D122" s="210"/>
      <c r="E122" s="210"/>
      <c r="F122" s="210"/>
      <c r="G122" s="210"/>
      <c r="H122" s="210"/>
      <c r="I122" s="210"/>
      <c r="J122" s="210"/>
      <c r="K122" s="210"/>
      <c r="L122" s="210"/>
      <c r="M122" s="210"/>
      <c r="N122" s="210"/>
      <c r="O122" s="210"/>
      <c r="P122" s="210"/>
      <c r="Q122" s="210"/>
      <c r="R122" s="210"/>
      <c r="S122" s="210"/>
      <c r="T122" s="210"/>
      <c r="U122" s="210"/>
      <c r="V122" s="210"/>
      <c r="W122" s="210"/>
      <c r="X122" s="210"/>
      <c r="Y122" s="210"/>
      <c r="Z122" s="210"/>
    </row>
    <row r="123" spans="1:26" ht="9.75" customHeight="1" x14ac:dyDescent="0.25">
      <c r="A123" s="210"/>
      <c r="B123" s="210"/>
      <c r="C123" s="210"/>
      <c r="D123" s="210"/>
      <c r="E123" s="210"/>
      <c r="F123" s="210"/>
      <c r="G123" s="210"/>
      <c r="H123" s="210"/>
      <c r="I123" s="210"/>
      <c r="J123" s="210"/>
      <c r="K123" s="210"/>
      <c r="L123" s="210"/>
      <c r="M123" s="210"/>
      <c r="N123" s="210"/>
      <c r="O123" s="210"/>
      <c r="P123" s="210"/>
      <c r="Q123" s="210"/>
      <c r="R123" s="210"/>
      <c r="S123" s="210"/>
      <c r="T123" s="210"/>
      <c r="U123" s="210"/>
      <c r="V123" s="210"/>
      <c r="W123" s="210"/>
      <c r="X123" s="210"/>
      <c r="Y123" s="210"/>
      <c r="Z123" s="210"/>
    </row>
    <row r="124" spans="1:26" ht="9.75" customHeight="1" x14ac:dyDescent="0.25">
      <c r="A124" s="210"/>
      <c r="B124" s="210"/>
      <c r="C124" s="210"/>
      <c r="D124" s="210"/>
      <c r="E124" s="210"/>
      <c r="F124" s="210"/>
      <c r="G124" s="210"/>
      <c r="H124" s="210"/>
      <c r="I124" s="210"/>
      <c r="J124" s="210"/>
      <c r="K124" s="210"/>
      <c r="L124" s="210"/>
      <c r="M124" s="210"/>
      <c r="N124" s="210"/>
      <c r="O124" s="210"/>
      <c r="P124" s="210"/>
      <c r="Q124" s="210"/>
      <c r="R124" s="210"/>
      <c r="S124" s="210"/>
      <c r="T124" s="210"/>
      <c r="U124" s="210"/>
      <c r="V124" s="210"/>
      <c r="W124" s="210"/>
      <c r="X124" s="210"/>
      <c r="Y124" s="210"/>
      <c r="Z124" s="210"/>
    </row>
    <row r="125" spans="1:26" ht="9.75" customHeight="1" x14ac:dyDescent="0.25">
      <c r="A125" s="210"/>
      <c r="B125" s="210"/>
      <c r="C125" s="210"/>
      <c r="D125" s="210"/>
      <c r="E125" s="210"/>
      <c r="F125" s="210"/>
      <c r="G125" s="210"/>
      <c r="H125" s="210"/>
      <c r="I125" s="210"/>
      <c r="J125" s="210"/>
      <c r="K125" s="210"/>
      <c r="L125" s="210"/>
      <c r="M125" s="210"/>
      <c r="N125" s="210"/>
      <c r="O125" s="210"/>
      <c r="P125" s="210"/>
      <c r="Q125" s="210"/>
      <c r="R125" s="210"/>
      <c r="S125" s="210"/>
      <c r="T125" s="210"/>
      <c r="U125" s="210"/>
      <c r="V125" s="210"/>
      <c r="W125" s="210"/>
      <c r="X125" s="210"/>
      <c r="Y125" s="210"/>
      <c r="Z125" s="210"/>
    </row>
    <row r="126" spans="1:26" ht="9.75" customHeight="1" x14ac:dyDescent="0.25">
      <c r="A126" s="210"/>
      <c r="B126" s="210"/>
      <c r="C126" s="210"/>
      <c r="D126" s="210"/>
      <c r="E126" s="210"/>
      <c r="F126" s="210"/>
      <c r="G126" s="210"/>
      <c r="H126" s="210"/>
      <c r="I126" s="210"/>
      <c r="J126" s="210"/>
      <c r="K126" s="210"/>
      <c r="L126" s="210"/>
      <c r="M126" s="210"/>
      <c r="N126" s="210"/>
      <c r="O126" s="210"/>
      <c r="P126" s="210"/>
      <c r="Q126" s="210"/>
      <c r="R126" s="210"/>
      <c r="S126" s="210"/>
      <c r="T126" s="210"/>
      <c r="U126" s="210"/>
      <c r="V126" s="210"/>
      <c r="W126" s="210"/>
      <c r="X126" s="210"/>
      <c r="Y126" s="210"/>
      <c r="Z126" s="210"/>
    </row>
    <row r="127" spans="1:26" ht="9.75" customHeight="1" x14ac:dyDescent="0.25">
      <c r="A127" s="210"/>
      <c r="B127" s="210"/>
      <c r="C127" s="210"/>
      <c r="D127" s="210"/>
      <c r="E127" s="210"/>
      <c r="F127" s="210"/>
      <c r="G127" s="210"/>
      <c r="H127" s="210"/>
      <c r="I127" s="210"/>
      <c r="J127" s="210"/>
      <c r="K127" s="210"/>
      <c r="L127" s="210"/>
      <c r="M127" s="210"/>
      <c r="N127" s="210"/>
      <c r="O127" s="210"/>
      <c r="P127" s="210"/>
      <c r="Q127" s="210"/>
      <c r="R127" s="210"/>
      <c r="S127" s="210"/>
      <c r="T127" s="210"/>
      <c r="U127" s="210"/>
      <c r="V127" s="210"/>
      <c r="W127" s="210"/>
      <c r="X127" s="210"/>
      <c r="Y127" s="210"/>
      <c r="Z127" s="210"/>
    </row>
    <row r="128" spans="1:26" ht="9.75" customHeight="1" x14ac:dyDescent="0.25">
      <c r="A128" s="210"/>
      <c r="B128" s="210"/>
      <c r="C128" s="210"/>
      <c r="D128" s="210"/>
      <c r="E128" s="210"/>
      <c r="F128" s="210"/>
      <c r="G128" s="210"/>
      <c r="H128" s="210"/>
      <c r="I128" s="210"/>
      <c r="J128" s="210"/>
      <c r="K128" s="210"/>
      <c r="L128" s="210"/>
      <c r="M128" s="210"/>
      <c r="N128" s="210"/>
      <c r="O128" s="210"/>
      <c r="P128" s="210"/>
      <c r="Q128" s="210"/>
      <c r="R128" s="210"/>
      <c r="S128" s="210"/>
      <c r="T128" s="210"/>
      <c r="U128" s="210"/>
      <c r="V128" s="210"/>
      <c r="W128" s="210"/>
      <c r="X128" s="210"/>
      <c r="Y128" s="210"/>
      <c r="Z128" s="210"/>
    </row>
    <row r="129" spans="1:26" ht="9.75" customHeight="1" x14ac:dyDescent="0.25">
      <c r="A129" s="210"/>
      <c r="B129" s="210"/>
      <c r="C129" s="210"/>
      <c r="D129" s="210"/>
      <c r="E129" s="210"/>
      <c r="F129" s="210"/>
      <c r="G129" s="210"/>
      <c r="H129" s="210"/>
      <c r="I129" s="210"/>
      <c r="J129" s="210"/>
      <c r="K129" s="210"/>
      <c r="L129" s="210"/>
      <c r="M129" s="210"/>
      <c r="N129" s="210"/>
      <c r="O129" s="210"/>
      <c r="P129" s="210"/>
      <c r="Q129" s="210"/>
      <c r="R129" s="210"/>
      <c r="S129" s="210"/>
      <c r="T129" s="210"/>
      <c r="U129" s="210"/>
      <c r="V129" s="210"/>
      <c r="W129" s="210"/>
      <c r="X129" s="210"/>
      <c r="Y129" s="210"/>
      <c r="Z129" s="210"/>
    </row>
    <row r="130" spans="1:26" ht="9.75" customHeight="1" x14ac:dyDescent="0.25">
      <c r="A130" s="210"/>
      <c r="B130" s="210"/>
      <c r="C130" s="210"/>
      <c r="D130" s="210"/>
      <c r="E130" s="210"/>
      <c r="F130" s="210"/>
      <c r="G130" s="210"/>
      <c r="H130" s="210"/>
      <c r="I130" s="210"/>
      <c r="J130" s="210"/>
      <c r="K130" s="210"/>
      <c r="L130" s="210"/>
      <c r="M130" s="210"/>
      <c r="N130" s="210"/>
      <c r="O130" s="210"/>
      <c r="P130" s="210"/>
      <c r="Q130" s="210"/>
      <c r="R130" s="210"/>
      <c r="S130" s="210"/>
      <c r="T130" s="210"/>
      <c r="U130" s="210"/>
      <c r="V130" s="210"/>
      <c r="W130" s="210"/>
      <c r="X130" s="210"/>
      <c r="Y130" s="210"/>
      <c r="Z130" s="210"/>
    </row>
    <row r="131" spans="1:26" ht="9.75" customHeight="1" x14ac:dyDescent="0.25">
      <c r="A131" s="210"/>
      <c r="B131" s="210"/>
      <c r="C131" s="210"/>
      <c r="D131" s="210"/>
      <c r="E131" s="210"/>
      <c r="F131" s="210"/>
      <c r="G131" s="210"/>
      <c r="H131" s="210"/>
      <c r="I131" s="210"/>
      <c r="J131" s="210"/>
      <c r="K131" s="210"/>
      <c r="L131" s="210"/>
      <c r="M131" s="210"/>
      <c r="N131" s="210"/>
      <c r="O131" s="210"/>
      <c r="P131" s="210"/>
      <c r="Q131" s="210"/>
      <c r="R131" s="210"/>
      <c r="S131" s="210"/>
      <c r="T131" s="210"/>
      <c r="U131" s="210"/>
      <c r="V131" s="210"/>
      <c r="W131" s="210"/>
      <c r="X131" s="210"/>
      <c r="Y131" s="210"/>
      <c r="Z131" s="210"/>
    </row>
    <row r="132" spans="1:26" ht="9.75" customHeight="1" x14ac:dyDescent="0.25">
      <c r="A132" s="210"/>
      <c r="B132" s="210"/>
      <c r="C132" s="210"/>
      <c r="D132" s="210"/>
      <c r="E132" s="210"/>
      <c r="F132" s="210"/>
      <c r="G132" s="210"/>
      <c r="H132" s="210"/>
      <c r="I132" s="210"/>
      <c r="J132" s="210"/>
      <c r="K132" s="210"/>
      <c r="L132" s="210"/>
      <c r="M132" s="210"/>
      <c r="N132" s="210"/>
      <c r="O132" s="210"/>
      <c r="P132" s="210"/>
      <c r="Q132" s="210"/>
      <c r="R132" s="210"/>
      <c r="S132" s="210"/>
      <c r="T132" s="210"/>
      <c r="U132" s="210"/>
      <c r="V132" s="210"/>
      <c r="W132" s="210"/>
      <c r="X132" s="210"/>
      <c r="Y132" s="210"/>
      <c r="Z132" s="210"/>
    </row>
    <row r="133" spans="1:26" ht="9.75" customHeight="1" x14ac:dyDescent="0.25">
      <c r="A133" s="210"/>
      <c r="B133" s="210"/>
      <c r="C133" s="210"/>
      <c r="D133" s="210"/>
      <c r="E133" s="210"/>
      <c r="F133" s="210"/>
      <c r="G133" s="210"/>
      <c r="H133" s="210"/>
      <c r="I133" s="210"/>
      <c r="J133" s="210"/>
      <c r="K133" s="210"/>
      <c r="L133" s="210"/>
      <c r="M133" s="210"/>
      <c r="N133" s="210"/>
      <c r="O133" s="210"/>
      <c r="P133" s="210"/>
      <c r="Q133" s="210"/>
      <c r="R133" s="210"/>
      <c r="S133" s="210"/>
      <c r="T133" s="210"/>
      <c r="U133" s="210"/>
      <c r="V133" s="210"/>
      <c r="W133" s="210"/>
      <c r="X133" s="210"/>
      <c r="Y133" s="210"/>
      <c r="Z133" s="210"/>
    </row>
    <row r="134" spans="1:26" ht="9.75" customHeight="1" x14ac:dyDescent="0.25">
      <c r="A134" s="210"/>
      <c r="B134" s="210"/>
      <c r="C134" s="210"/>
      <c r="D134" s="210"/>
      <c r="E134" s="210"/>
      <c r="F134" s="210"/>
      <c r="G134" s="210"/>
      <c r="H134" s="210"/>
      <c r="I134" s="210"/>
      <c r="J134" s="210"/>
      <c r="K134" s="210"/>
      <c r="L134" s="210"/>
      <c r="M134" s="210"/>
      <c r="N134" s="210"/>
      <c r="O134" s="210"/>
      <c r="P134" s="210"/>
      <c r="Q134" s="210"/>
      <c r="R134" s="210"/>
      <c r="S134" s="210"/>
      <c r="T134" s="210"/>
      <c r="U134" s="210"/>
      <c r="V134" s="210"/>
      <c r="W134" s="210"/>
      <c r="X134" s="210"/>
      <c r="Y134" s="210"/>
      <c r="Z134" s="210"/>
    </row>
    <row r="135" spans="1:26" ht="9.75" customHeight="1" x14ac:dyDescent="0.25">
      <c r="A135" s="210"/>
      <c r="B135" s="210"/>
      <c r="C135" s="210"/>
      <c r="D135" s="210"/>
      <c r="E135" s="210"/>
      <c r="F135" s="210"/>
      <c r="G135" s="210"/>
      <c r="H135" s="210"/>
      <c r="I135" s="210"/>
      <c r="J135" s="210"/>
      <c r="K135" s="210"/>
      <c r="L135" s="210"/>
      <c r="M135" s="210"/>
      <c r="N135" s="210"/>
      <c r="O135" s="210"/>
      <c r="P135" s="210"/>
      <c r="Q135" s="210"/>
      <c r="R135" s="210"/>
      <c r="S135" s="210"/>
      <c r="T135" s="210"/>
      <c r="U135" s="210"/>
      <c r="V135" s="210"/>
      <c r="W135" s="210"/>
      <c r="X135" s="210"/>
      <c r="Y135" s="210"/>
      <c r="Z135" s="210"/>
    </row>
    <row r="136" spans="1:26" ht="9.75" customHeight="1" x14ac:dyDescent="0.25">
      <c r="A136" s="210"/>
      <c r="B136" s="210"/>
      <c r="C136" s="210"/>
      <c r="D136" s="210"/>
      <c r="E136" s="210"/>
      <c r="F136" s="210"/>
      <c r="G136" s="210"/>
      <c r="H136" s="210"/>
      <c r="I136" s="210"/>
      <c r="J136" s="210"/>
      <c r="K136" s="210"/>
      <c r="L136" s="210"/>
      <c r="M136" s="210"/>
      <c r="N136" s="210"/>
      <c r="O136" s="210"/>
      <c r="P136" s="210"/>
      <c r="Q136" s="210"/>
      <c r="R136" s="210"/>
      <c r="S136" s="210"/>
      <c r="T136" s="210"/>
      <c r="U136" s="210"/>
      <c r="V136" s="210"/>
      <c r="W136" s="210"/>
      <c r="X136" s="210"/>
      <c r="Y136" s="210"/>
      <c r="Z136" s="210"/>
    </row>
    <row r="137" spans="1:26" ht="9.75" customHeight="1" x14ac:dyDescent="0.25">
      <c r="A137" s="210"/>
      <c r="B137" s="210"/>
      <c r="C137" s="210"/>
      <c r="D137" s="210"/>
      <c r="E137" s="210"/>
      <c r="F137" s="210"/>
      <c r="G137" s="210"/>
      <c r="H137" s="210"/>
      <c r="I137" s="210"/>
      <c r="J137" s="210"/>
      <c r="K137" s="210"/>
      <c r="L137" s="210"/>
      <c r="M137" s="210"/>
      <c r="N137" s="210"/>
      <c r="O137" s="210"/>
      <c r="P137" s="210"/>
      <c r="Q137" s="210"/>
      <c r="R137" s="210"/>
      <c r="S137" s="210"/>
      <c r="T137" s="210"/>
      <c r="U137" s="210"/>
      <c r="V137" s="210"/>
      <c r="W137" s="210"/>
      <c r="X137" s="210"/>
      <c r="Y137" s="210"/>
      <c r="Z137" s="210"/>
    </row>
    <row r="138" spans="1:26" ht="9.75" customHeight="1" x14ac:dyDescent="0.25">
      <c r="A138" s="210"/>
      <c r="B138" s="210"/>
      <c r="C138" s="210"/>
      <c r="D138" s="210"/>
      <c r="E138" s="210"/>
      <c r="F138" s="210"/>
      <c r="G138" s="210"/>
      <c r="H138" s="210"/>
      <c r="I138" s="210"/>
      <c r="J138" s="210"/>
      <c r="K138" s="210"/>
      <c r="L138" s="210"/>
      <c r="M138" s="210"/>
      <c r="N138" s="210"/>
      <c r="O138" s="210"/>
      <c r="P138" s="210"/>
      <c r="Q138" s="210"/>
      <c r="R138" s="210"/>
      <c r="S138" s="210"/>
      <c r="T138" s="210"/>
      <c r="U138" s="210"/>
      <c r="V138" s="210"/>
      <c r="W138" s="210"/>
      <c r="X138" s="210"/>
      <c r="Y138" s="210"/>
      <c r="Z138" s="210"/>
    </row>
    <row r="139" spans="1:26" ht="9.75" customHeight="1" x14ac:dyDescent="0.25">
      <c r="A139" s="210"/>
      <c r="B139" s="210"/>
      <c r="C139" s="210"/>
      <c r="D139" s="210"/>
      <c r="E139" s="210"/>
      <c r="F139" s="210"/>
      <c r="G139" s="210"/>
      <c r="H139" s="210"/>
      <c r="I139" s="210"/>
      <c r="J139" s="210"/>
      <c r="K139" s="210"/>
      <c r="L139" s="210"/>
      <c r="M139" s="210"/>
      <c r="N139" s="210"/>
      <c r="O139" s="210"/>
      <c r="P139" s="210"/>
      <c r="Q139" s="210"/>
      <c r="R139" s="210"/>
      <c r="S139" s="210"/>
      <c r="T139" s="210"/>
      <c r="U139" s="210"/>
      <c r="V139" s="210"/>
      <c r="W139" s="210"/>
      <c r="X139" s="210"/>
      <c r="Y139" s="210"/>
      <c r="Z139" s="210"/>
    </row>
    <row r="140" spans="1:26" ht="9.75" customHeight="1" x14ac:dyDescent="0.25">
      <c r="A140" s="210"/>
      <c r="B140" s="210"/>
      <c r="C140" s="210"/>
      <c r="D140" s="210"/>
      <c r="E140" s="210"/>
      <c r="F140" s="210"/>
      <c r="G140" s="210"/>
      <c r="H140" s="210"/>
      <c r="I140" s="210"/>
      <c r="J140" s="210"/>
      <c r="K140" s="210"/>
      <c r="L140" s="210"/>
      <c r="M140" s="210"/>
      <c r="N140" s="210"/>
      <c r="O140" s="210"/>
      <c r="P140" s="210"/>
      <c r="Q140" s="210"/>
      <c r="R140" s="210"/>
      <c r="S140" s="210"/>
      <c r="T140" s="210"/>
      <c r="U140" s="210"/>
      <c r="V140" s="210"/>
      <c r="W140" s="210"/>
      <c r="X140" s="210"/>
      <c r="Y140" s="210"/>
      <c r="Z140" s="210"/>
    </row>
    <row r="141" spans="1:26" ht="9.75" customHeight="1" x14ac:dyDescent="0.25">
      <c r="A141" s="210"/>
      <c r="B141" s="210"/>
      <c r="C141" s="210"/>
      <c r="D141" s="210"/>
      <c r="E141" s="210"/>
      <c r="F141" s="210"/>
      <c r="G141" s="210"/>
      <c r="H141" s="210"/>
      <c r="I141" s="210"/>
      <c r="J141" s="210"/>
      <c r="K141" s="210"/>
      <c r="L141" s="210"/>
      <c r="M141" s="210"/>
      <c r="N141" s="210"/>
      <c r="O141" s="210"/>
      <c r="P141" s="210"/>
      <c r="Q141" s="210"/>
      <c r="R141" s="210"/>
      <c r="S141" s="210"/>
      <c r="T141" s="210"/>
      <c r="U141" s="210"/>
      <c r="V141" s="210"/>
      <c r="W141" s="210"/>
      <c r="X141" s="210"/>
      <c r="Y141" s="210"/>
      <c r="Z141" s="210"/>
    </row>
    <row r="142" spans="1:26" ht="9.75" customHeight="1" x14ac:dyDescent="0.25">
      <c r="A142" s="210"/>
      <c r="B142" s="210"/>
      <c r="C142" s="210"/>
      <c r="D142" s="210"/>
      <c r="E142" s="210"/>
      <c r="F142" s="210"/>
      <c r="G142" s="210"/>
      <c r="H142" s="210"/>
      <c r="I142" s="210"/>
      <c r="J142" s="210"/>
      <c r="K142" s="210"/>
      <c r="L142" s="210"/>
      <c r="M142" s="210"/>
      <c r="N142" s="210"/>
      <c r="O142" s="210"/>
      <c r="P142" s="210"/>
      <c r="Q142" s="210"/>
      <c r="R142" s="210"/>
      <c r="S142" s="210"/>
      <c r="T142" s="210"/>
      <c r="U142" s="210"/>
      <c r="V142" s="210"/>
      <c r="W142" s="210"/>
      <c r="X142" s="210"/>
      <c r="Y142" s="210"/>
      <c r="Z142" s="210"/>
    </row>
    <row r="143" spans="1:26" ht="9.75" customHeight="1" x14ac:dyDescent="0.25">
      <c r="A143" s="210"/>
      <c r="B143" s="210"/>
      <c r="C143" s="210"/>
      <c r="D143" s="210"/>
      <c r="E143" s="210"/>
      <c r="F143" s="210"/>
      <c r="G143" s="210"/>
      <c r="H143" s="210"/>
      <c r="I143" s="210"/>
      <c r="J143" s="210"/>
      <c r="K143" s="210"/>
      <c r="L143" s="210"/>
      <c r="M143" s="210"/>
      <c r="N143" s="210"/>
      <c r="O143" s="210"/>
      <c r="P143" s="210"/>
      <c r="Q143" s="210"/>
      <c r="R143" s="210"/>
      <c r="S143" s="210"/>
      <c r="T143" s="210"/>
      <c r="U143" s="210"/>
      <c r="V143" s="210"/>
      <c r="W143" s="210"/>
      <c r="X143" s="210"/>
      <c r="Y143" s="210"/>
      <c r="Z143" s="210"/>
    </row>
    <row r="144" spans="1:26" ht="9.75" customHeight="1" x14ac:dyDescent="0.25">
      <c r="A144" s="210"/>
      <c r="B144" s="210"/>
      <c r="C144" s="210"/>
      <c r="D144" s="210"/>
      <c r="E144" s="210"/>
      <c r="F144" s="210"/>
      <c r="G144" s="210"/>
      <c r="H144" s="210"/>
      <c r="I144" s="210"/>
      <c r="J144" s="210"/>
      <c r="K144" s="210"/>
      <c r="L144" s="210"/>
      <c r="M144" s="210"/>
      <c r="N144" s="210"/>
      <c r="O144" s="210"/>
      <c r="P144" s="210"/>
      <c r="Q144" s="210"/>
      <c r="R144" s="210"/>
      <c r="S144" s="210"/>
      <c r="T144" s="210"/>
      <c r="U144" s="210"/>
      <c r="V144" s="210"/>
      <c r="W144" s="210"/>
      <c r="X144" s="210"/>
      <c r="Y144" s="210"/>
      <c r="Z144" s="210"/>
    </row>
    <row r="145" spans="1:26" ht="9.75" customHeight="1" x14ac:dyDescent="0.25">
      <c r="A145" s="210"/>
      <c r="B145" s="210"/>
      <c r="C145" s="210"/>
      <c r="D145" s="210"/>
      <c r="E145" s="210"/>
      <c r="F145" s="210"/>
      <c r="G145" s="210"/>
      <c r="H145" s="210"/>
      <c r="I145" s="210"/>
      <c r="J145" s="210"/>
      <c r="K145" s="210"/>
      <c r="L145" s="210"/>
      <c r="M145" s="210"/>
      <c r="N145" s="210"/>
      <c r="O145" s="210"/>
      <c r="P145" s="210"/>
      <c r="Q145" s="210"/>
      <c r="R145" s="210"/>
      <c r="S145" s="210"/>
      <c r="T145" s="210"/>
      <c r="U145" s="210"/>
      <c r="V145" s="210"/>
      <c r="W145" s="210"/>
      <c r="X145" s="210"/>
      <c r="Y145" s="210"/>
      <c r="Z145" s="210"/>
    </row>
    <row r="146" spans="1:26" ht="9.75" customHeight="1" x14ac:dyDescent="0.25">
      <c r="A146" s="210"/>
      <c r="B146" s="210"/>
      <c r="C146" s="210"/>
      <c r="D146" s="210"/>
      <c r="E146" s="210"/>
      <c r="F146" s="210"/>
      <c r="G146" s="210"/>
      <c r="H146" s="210"/>
      <c r="I146" s="210"/>
      <c r="J146" s="210"/>
      <c r="K146" s="210"/>
      <c r="L146" s="210"/>
      <c r="M146" s="210"/>
      <c r="N146" s="210"/>
      <c r="O146" s="210"/>
      <c r="P146" s="210"/>
      <c r="Q146" s="210"/>
      <c r="R146" s="210"/>
      <c r="S146" s="210"/>
      <c r="T146" s="210"/>
      <c r="U146" s="210"/>
      <c r="V146" s="210"/>
      <c r="W146" s="210"/>
      <c r="X146" s="210"/>
      <c r="Y146" s="210"/>
      <c r="Z146" s="210"/>
    </row>
    <row r="147" spans="1:26" ht="9.75" customHeight="1" x14ac:dyDescent="0.25">
      <c r="A147" s="210"/>
      <c r="B147" s="210"/>
      <c r="C147" s="210"/>
      <c r="D147" s="210"/>
      <c r="E147" s="210"/>
      <c r="F147" s="210"/>
      <c r="G147" s="210"/>
      <c r="H147" s="210"/>
      <c r="I147" s="210"/>
      <c r="J147" s="210"/>
      <c r="K147" s="210"/>
      <c r="L147" s="210"/>
      <c r="M147" s="210"/>
      <c r="N147" s="210"/>
      <c r="O147" s="210"/>
      <c r="P147" s="210"/>
      <c r="Q147" s="210"/>
      <c r="R147" s="210"/>
      <c r="S147" s="210"/>
      <c r="T147" s="210"/>
      <c r="U147" s="210"/>
      <c r="V147" s="210"/>
      <c r="W147" s="210"/>
      <c r="X147" s="210"/>
      <c r="Y147" s="210"/>
      <c r="Z147" s="210"/>
    </row>
    <row r="148" spans="1:26" ht="9.75" customHeight="1" x14ac:dyDescent="0.25">
      <c r="A148" s="210"/>
      <c r="B148" s="210"/>
      <c r="C148" s="210"/>
      <c r="D148" s="210"/>
      <c r="E148" s="210"/>
      <c r="F148" s="210"/>
      <c r="G148" s="210"/>
      <c r="H148" s="210"/>
      <c r="I148" s="210"/>
      <c r="J148" s="210"/>
      <c r="K148" s="210"/>
      <c r="L148" s="210"/>
      <c r="M148" s="210"/>
      <c r="N148" s="210"/>
      <c r="O148" s="210"/>
      <c r="P148" s="210"/>
      <c r="Q148" s="210"/>
      <c r="R148" s="210"/>
      <c r="S148" s="210"/>
      <c r="T148" s="210"/>
      <c r="U148" s="210"/>
      <c r="V148" s="210"/>
      <c r="W148" s="210"/>
      <c r="X148" s="210"/>
      <c r="Y148" s="210"/>
      <c r="Z148" s="210"/>
    </row>
    <row r="149" spans="1:26" ht="9.75" customHeight="1" x14ac:dyDescent="0.25">
      <c r="A149" s="210"/>
      <c r="B149" s="210"/>
      <c r="C149" s="210"/>
      <c r="D149" s="210"/>
      <c r="E149" s="210"/>
      <c r="F149" s="210"/>
      <c r="G149" s="210"/>
      <c r="H149" s="210"/>
      <c r="I149" s="210"/>
      <c r="J149" s="210"/>
      <c r="K149" s="210"/>
      <c r="L149" s="210"/>
      <c r="M149" s="210"/>
      <c r="N149" s="210"/>
      <c r="O149" s="210"/>
      <c r="P149" s="210"/>
      <c r="Q149" s="210"/>
      <c r="R149" s="210"/>
      <c r="S149" s="210"/>
      <c r="T149" s="210"/>
      <c r="U149" s="210"/>
      <c r="V149" s="210"/>
      <c r="W149" s="210"/>
      <c r="X149" s="210"/>
      <c r="Y149" s="210"/>
      <c r="Z149" s="210"/>
    </row>
    <row r="150" spans="1:26" ht="9.75" customHeight="1" x14ac:dyDescent="0.25">
      <c r="A150" s="210"/>
      <c r="B150" s="210"/>
      <c r="C150" s="210"/>
      <c r="D150" s="210"/>
      <c r="E150" s="210"/>
      <c r="F150" s="210"/>
      <c r="G150" s="210"/>
      <c r="H150" s="210"/>
      <c r="I150" s="210"/>
      <c r="J150" s="210"/>
      <c r="K150" s="210"/>
      <c r="L150" s="210"/>
      <c r="M150" s="210"/>
      <c r="N150" s="210"/>
      <c r="O150" s="210"/>
      <c r="P150" s="210"/>
      <c r="Q150" s="210"/>
      <c r="R150" s="210"/>
      <c r="S150" s="210"/>
      <c r="T150" s="210"/>
      <c r="U150" s="210"/>
      <c r="V150" s="210"/>
      <c r="W150" s="210"/>
      <c r="X150" s="210"/>
      <c r="Y150" s="210"/>
      <c r="Z150" s="210"/>
    </row>
    <row r="151" spans="1:26" ht="9.75" customHeight="1" x14ac:dyDescent="0.25">
      <c r="A151" s="210"/>
      <c r="B151" s="210"/>
      <c r="C151" s="210"/>
      <c r="D151" s="210"/>
      <c r="E151" s="210"/>
      <c r="F151" s="210"/>
      <c r="G151" s="210"/>
      <c r="H151" s="210"/>
      <c r="I151" s="210"/>
      <c r="J151" s="210"/>
      <c r="K151" s="210"/>
      <c r="L151" s="210"/>
      <c r="M151" s="210"/>
      <c r="N151" s="210"/>
      <c r="O151" s="210"/>
      <c r="P151" s="210"/>
      <c r="Q151" s="210"/>
      <c r="R151" s="210"/>
      <c r="S151" s="210"/>
      <c r="T151" s="210"/>
      <c r="U151" s="210"/>
      <c r="V151" s="210"/>
      <c r="W151" s="210"/>
      <c r="X151" s="210"/>
      <c r="Y151" s="210"/>
      <c r="Z151" s="210"/>
    </row>
    <row r="152" spans="1:26" ht="9.75" customHeight="1" x14ac:dyDescent="0.25">
      <c r="A152" s="210"/>
      <c r="B152" s="210"/>
      <c r="C152" s="210"/>
      <c r="D152" s="210"/>
      <c r="E152" s="210"/>
      <c r="F152" s="210"/>
      <c r="G152" s="210"/>
      <c r="H152" s="210"/>
      <c r="I152" s="210"/>
      <c r="J152" s="210"/>
      <c r="K152" s="210"/>
      <c r="L152" s="210"/>
      <c r="M152" s="210"/>
      <c r="N152" s="210"/>
      <c r="O152" s="210"/>
      <c r="P152" s="210"/>
      <c r="Q152" s="210"/>
      <c r="R152" s="210"/>
      <c r="S152" s="210"/>
      <c r="T152" s="210"/>
      <c r="U152" s="210"/>
      <c r="V152" s="210"/>
      <c r="W152" s="210"/>
      <c r="X152" s="210"/>
      <c r="Y152" s="210"/>
      <c r="Z152" s="210"/>
    </row>
    <row r="153" spans="1:26" ht="9.75" customHeight="1" x14ac:dyDescent="0.25">
      <c r="A153" s="210"/>
      <c r="B153" s="210"/>
      <c r="C153" s="210"/>
      <c r="D153" s="210"/>
      <c r="E153" s="210"/>
      <c r="F153" s="210"/>
      <c r="G153" s="210"/>
      <c r="H153" s="210"/>
      <c r="I153" s="210"/>
      <c r="J153" s="210"/>
      <c r="K153" s="210"/>
      <c r="L153" s="210"/>
      <c r="M153" s="210"/>
      <c r="N153" s="210"/>
      <c r="O153" s="210"/>
      <c r="P153" s="210"/>
      <c r="Q153" s="210"/>
      <c r="R153" s="210"/>
      <c r="S153" s="210"/>
      <c r="T153" s="210"/>
      <c r="U153" s="210"/>
      <c r="V153" s="210"/>
      <c r="W153" s="210"/>
      <c r="X153" s="210"/>
      <c r="Y153" s="210"/>
      <c r="Z153" s="210"/>
    </row>
    <row r="154" spans="1:26" ht="9.75" customHeight="1" x14ac:dyDescent="0.25">
      <c r="A154" s="210"/>
      <c r="B154" s="210"/>
      <c r="C154" s="210"/>
      <c r="D154" s="210"/>
      <c r="E154" s="210"/>
      <c r="F154" s="210"/>
      <c r="G154" s="210"/>
      <c r="H154" s="210"/>
      <c r="I154" s="210"/>
      <c r="J154" s="210"/>
      <c r="K154" s="210"/>
      <c r="L154" s="210"/>
      <c r="M154" s="210"/>
      <c r="N154" s="210"/>
      <c r="O154" s="210"/>
      <c r="P154" s="210"/>
      <c r="Q154" s="210"/>
      <c r="R154" s="210"/>
      <c r="S154" s="210"/>
      <c r="T154" s="210"/>
      <c r="U154" s="210"/>
      <c r="V154" s="210"/>
      <c r="W154" s="210"/>
      <c r="X154" s="210"/>
      <c r="Y154" s="210"/>
      <c r="Z154" s="210"/>
    </row>
    <row r="155" spans="1:26" ht="9.75" customHeight="1" x14ac:dyDescent="0.25">
      <c r="A155" s="210"/>
      <c r="B155" s="210"/>
      <c r="C155" s="210"/>
      <c r="D155" s="210"/>
      <c r="E155" s="210"/>
      <c r="F155" s="210"/>
      <c r="G155" s="210"/>
      <c r="H155" s="210"/>
      <c r="I155" s="210"/>
      <c r="J155" s="210"/>
      <c r="K155" s="210"/>
      <c r="L155" s="210"/>
      <c r="M155" s="210"/>
      <c r="N155" s="210"/>
      <c r="O155" s="210"/>
      <c r="P155" s="210"/>
      <c r="Q155" s="210"/>
      <c r="R155" s="210"/>
      <c r="S155" s="210"/>
      <c r="T155" s="210"/>
      <c r="U155" s="210"/>
      <c r="V155" s="210"/>
      <c r="W155" s="210"/>
      <c r="X155" s="210"/>
      <c r="Y155" s="210"/>
      <c r="Z155" s="210"/>
    </row>
    <row r="156" spans="1:26" ht="9.75" customHeight="1" x14ac:dyDescent="0.25">
      <c r="A156" s="210"/>
      <c r="B156" s="210"/>
      <c r="C156" s="210"/>
      <c r="D156" s="210"/>
      <c r="E156" s="210"/>
      <c r="F156" s="210"/>
      <c r="G156" s="210"/>
      <c r="H156" s="210"/>
      <c r="I156" s="210"/>
      <c r="J156" s="210"/>
      <c r="K156" s="210"/>
      <c r="L156" s="210"/>
      <c r="M156" s="210"/>
      <c r="N156" s="210"/>
      <c r="O156" s="210"/>
      <c r="P156" s="210"/>
      <c r="Q156" s="210"/>
      <c r="R156" s="210"/>
      <c r="S156" s="210"/>
      <c r="T156" s="210"/>
      <c r="U156" s="210"/>
      <c r="V156" s="210"/>
      <c r="W156" s="210"/>
      <c r="X156" s="210"/>
      <c r="Y156" s="210"/>
      <c r="Z156" s="210"/>
    </row>
    <row r="157" spans="1:26" ht="9.75" customHeight="1" x14ac:dyDescent="0.25">
      <c r="A157" s="210"/>
      <c r="B157" s="210"/>
      <c r="C157" s="210"/>
      <c r="D157" s="210"/>
      <c r="E157" s="210"/>
      <c r="F157" s="210"/>
      <c r="G157" s="210"/>
      <c r="H157" s="210"/>
      <c r="I157" s="210"/>
      <c r="J157" s="210"/>
      <c r="K157" s="210"/>
      <c r="L157" s="210"/>
      <c r="M157" s="210"/>
      <c r="N157" s="210"/>
      <c r="O157" s="210"/>
      <c r="P157" s="210"/>
      <c r="Q157" s="210"/>
      <c r="R157" s="210"/>
      <c r="S157" s="210"/>
      <c r="T157" s="210"/>
      <c r="U157" s="210"/>
      <c r="V157" s="210"/>
      <c r="W157" s="210"/>
      <c r="X157" s="210"/>
      <c r="Y157" s="210"/>
      <c r="Z157" s="210"/>
    </row>
    <row r="158" spans="1:26" ht="9.75" customHeight="1" x14ac:dyDescent="0.25">
      <c r="A158" s="210"/>
      <c r="B158" s="210"/>
      <c r="C158" s="210"/>
      <c r="D158" s="210"/>
      <c r="E158" s="210"/>
      <c r="F158" s="210"/>
      <c r="G158" s="210"/>
      <c r="H158" s="210"/>
      <c r="I158" s="210"/>
      <c r="J158" s="210"/>
      <c r="K158" s="210"/>
      <c r="L158" s="210"/>
      <c r="M158" s="210"/>
      <c r="N158" s="210"/>
      <c r="O158" s="210"/>
      <c r="P158" s="210"/>
      <c r="Q158" s="210"/>
      <c r="R158" s="210"/>
      <c r="S158" s="210"/>
      <c r="T158" s="210"/>
      <c r="U158" s="210"/>
      <c r="V158" s="210"/>
      <c r="W158" s="210"/>
      <c r="X158" s="210"/>
      <c r="Y158" s="210"/>
      <c r="Z158" s="210"/>
    </row>
    <row r="159" spans="1:26" ht="9.75" customHeight="1" x14ac:dyDescent="0.25">
      <c r="A159" s="210"/>
      <c r="B159" s="210"/>
      <c r="C159" s="210"/>
      <c r="D159" s="210"/>
      <c r="E159" s="210"/>
      <c r="F159" s="210"/>
      <c r="G159" s="210"/>
      <c r="H159" s="210"/>
      <c r="I159" s="210"/>
      <c r="J159" s="210"/>
      <c r="K159" s="210"/>
      <c r="L159" s="210"/>
      <c r="M159" s="210"/>
      <c r="N159" s="210"/>
      <c r="O159" s="210"/>
      <c r="P159" s="210"/>
      <c r="Q159" s="210"/>
      <c r="R159" s="210"/>
      <c r="S159" s="210"/>
      <c r="T159" s="210"/>
      <c r="U159" s="210"/>
      <c r="V159" s="210"/>
      <c r="W159" s="210"/>
      <c r="X159" s="210"/>
      <c r="Y159" s="210"/>
      <c r="Z159" s="210"/>
    </row>
    <row r="160" spans="1:26" ht="9.75" customHeight="1" x14ac:dyDescent="0.25">
      <c r="A160" s="210"/>
      <c r="B160" s="210"/>
      <c r="C160" s="210"/>
      <c r="D160" s="210"/>
      <c r="E160" s="210"/>
      <c r="F160" s="210"/>
      <c r="G160" s="210"/>
      <c r="H160" s="210"/>
      <c r="I160" s="210"/>
      <c r="J160" s="210"/>
      <c r="K160" s="210"/>
      <c r="L160" s="210"/>
      <c r="M160" s="210"/>
      <c r="N160" s="210"/>
      <c r="O160" s="210"/>
      <c r="P160" s="210"/>
      <c r="Q160" s="210"/>
      <c r="R160" s="210"/>
      <c r="S160" s="210"/>
      <c r="T160" s="210"/>
      <c r="U160" s="210"/>
      <c r="V160" s="210"/>
      <c r="W160" s="210"/>
      <c r="X160" s="210"/>
      <c r="Y160" s="210"/>
      <c r="Z160" s="210"/>
    </row>
    <row r="161" spans="1:26" ht="9.75" customHeight="1" x14ac:dyDescent="0.25">
      <c r="A161" s="210"/>
      <c r="B161" s="210"/>
      <c r="C161" s="210"/>
      <c r="D161" s="210"/>
      <c r="E161" s="210"/>
      <c r="F161" s="210"/>
      <c r="G161" s="210"/>
      <c r="H161" s="210"/>
      <c r="I161" s="210"/>
      <c r="J161" s="210"/>
      <c r="K161" s="210"/>
      <c r="L161" s="210"/>
      <c r="M161" s="210"/>
      <c r="N161" s="210"/>
      <c r="O161" s="210"/>
      <c r="P161" s="210"/>
      <c r="Q161" s="210"/>
      <c r="R161" s="210"/>
      <c r="S161" s="210"/>
      <c r="T161" s="210"/>
      <c r="U161" s="210"/>
      <c r="V161" s="210"/>
      <c r="W161" s="210"/>
      <c r="X161" s="210"/>
      <c r="Y161" s="210"/>
      <c r="Z161" s="210"/>
    </row>
    <row r="162" spans="1:26" ht="9.75" customHeight="1" x14ac:dyDescent="0.25">
      <c r="A162" s="210"/>
      <c r="B162" s="210"/>
      <c r="C162" s="210"/>
      <c r="D162" s="210"/>
      <c r="E162" s="210"/>
      <c r="F162" s="210"/>
      <c r="G162" s="210"/>
      <c r="H162" s="210"/>
      <c r="I162" s="210"/>
      <c r="J162" s="210"/>
      <c r="K162" s="210"/>
      <c r="L162" s="210"/>
      <c r="M162" s="210"/>
      <c r="N162" s="210"/>
      <c r="O162" s="210"/>
      <c r="P162" s="210"/>
      <c r="Q162" s="210"/>
      <c r="R162" s="210"/>
      <c r="S162" s="210"/>
      <c r="T162" s="210"/>
      <c r="U162" s="210"/>
      <c r="V162" s="210"/>
      <c r="W162" s="210"/>
      <c r="X162" s="210"/>
      <c r="Y162" s="210"/>
      <c r="Z162" s="210"/>
    </row>
    <row r="163" spans="1:26" ht="9.75" customHeight="1" x14ac:dyDescent="0.25">
      <c r="A163" s="210"/>
      <c r="B163" s="210"/>
      <c r="C163" s="210"/>
      <c r="D163" s="210"/>
      <c r="E163" s="210"/>
      <c r="F163" s="210"/>
      <c r="G163" s="210"/>
      <c r="H163" s="210"/>
      <c r="I163" s="210"/>
      <c r="J163" s="210"/>
      <c r="K163" s="210"/>
      <c r="L163" s="210"/>
      <c r="M163" s="210"/>
      <c r="N163" s="210"/>
      <c r="O163" s="210"/>
      <c r="P163" s="210"/>
      <c r="Q163" s="210"/>
      <c r="R163" s="210"/>
      <c r="S163" s="210"/>
      <c r="T163" s="210"/>
      <c r="U163" s="210"/>
      <c r="V163" s="210"/>
      <c r="W163" s="210"/>
      <c r="X163" s="210"/>
      <c r="Y163" s="210"/>
      <c r="Z163" s="210"/>
    </row>
    <row r="164" spans="1:26" ht="9.75" customHeight="1" x14ac:dyDescent="0.25">
      <c r="A164" s="210"/>
      <c r="B164" s="210"/>
      <c r="C164" s="210"/>
      <c r="D164" s="210"/>
      <c r="E164" s="210"/>
      <c r="F164" s="210"/>
      <c r="G164" s="210"/>
      <c r="H164" s="210"/>
      <c r="I164" s="210"/>
      <c r="J164" s="210"/>
      <c r="K164" s="210"/>
      <c r="L164" s="210"/>
      <c r="M164" s="210"/>
      <c r="N164" s="210"/>
      <c r="O164" s="210"/>
      <c r="P164" s="210"/>
      <c r="Q164" s="210"/>
      <c r="R164" s="210"/>
      <c r="S164" s="210"/>
      <c r="T164" s="210"/>
      <c r="U164" s="210"/>
      <c r="V164" s="210"/>
      <c r="W164" s="210"/>
      <c r="X164" s="210"/>
      <c r="Y164" s="210"/>
      <c r="Z164" s="210"/>
    </row>
    <row r="165" spans="1:26" ht="9.75" customHeight="1" x14ac:dyDescent="0.25">
      <c r="A165" s="210"/>
      <c r="B165" s="210"/>
      <c r="C165" s="210"/>
      <c r="D165" s="210"/>
      <c r="E165" s="210"/>
      <c r="F165" s="210"/>
      <c r="G165" s="210"/>
      <c r="H165" s="210"/>
      <c r="I165" s="210"/>
      <c r="J165" s="210"/>
      <c r="K165" s="210"/>
      <c r="L165" s="210"/>
      <c r="M165" s="210"/>
      <c r="N165" s="210"/>
      <c r="O165" s="210"/>
      <c r="P165" s="210"/>
      <c r="Q165" s="210"/>
      <c r="R165" s="210"/>
      <c r="S165" s="210"/>
      <c r="T165" s="210"/>
      <c r="U165" s="210"/>
      <c r="V165" s="210"/>
      <c r="W165" s="210"/>
      <c r="X165" s="210"/>
      <c r="Y165" s="210"/>
      <c r="Z165" s="210"/>
    </row>
    <row r="166" spans="1:26" ht="9.75" customHeight="1" x14ac:dyDescent="0.25">
      <c r="A166" s="210"/>
      <c r="B166" s="210"/>
      <c r="C166" s="210"/>
      <c r="D166" s="210"/>
      <c r="E166" s="210"/>
      <c r="F166" s="210"/>
      <c r="G166" s="210"/>
      <c r="H166" s="210"/>
      <c r="I166" s="210"/>
      <c r="J166" s="210"/>
      <c r="K166" s="210"/>
      <c r="L166" s="210"/>
      <c r="M166" s="210"/>
      <c r="N166" s="210"/>
      <c r="O166" s="210"/>
      <c r="P166" s="210"/>
      <c r="Q166" s="210"/>
      <c r="R166" s="210"/>
      <c r="S166" s="210"/>
      <c r="T166" s="210"/>
      <c r="U166" s="210"/>
      <c r="V166" s="210"/>
      <c r="W166" s="210"/>
      <c r="X166" s="210"/>
      <c r="Y166" s="210"/>
      <c r="Z166" s="210"/>
    </row>
    <row r="167" spans="1:26" ht="9.75" customHeight="1" x14ac:dyDescent="0.25">
      <c r="A167" s="210"/>
      <c r="B167" s="210"/>
      <c r="C167" s="210"/>
      <c r="D167" s="210"/>
      <c r="E167" s="210"/>
      <c r="F167" s="210"/>
      <c r="G167" s="210"/>
      <c r="H167" s="210"/>
      <c r="I167" s="210"/>
      <c r="J167" s="210"/>
      <c r="K167" s="210"/>
      <c r="L167" s="210"/>
      <c r="M167" s="210"/>
      <c r="N167" s="210"/>
      <c r="O167" s="210"/>
      <c r="P167" s="210"/>
      <c r="Q167" s="210"/>
      <c r="R167" s="210"/>
      <c r="S167" s="210"/>
      <c r="T167" s="210"/>
      <c r="U167" s="210"/>
      <c r="V167" s="210"/>
      <c r="W167" s="210"/>
      <c r="X167" s="210"/>
      <c r="Y167" s="210"/>
      <c r="Z167" s="210"/>
    </row>
    <row r="168" spans="1:26" ht="9.75" customHeight="1" x14ac:dyDescent="0.25">
      <c r="A168" s="210"/>
      <c r="B168" s="210"/>
      <c r="C168" s="210"/>
      <c r="D168" s="210"/>
      <c r="E168" s="210"/>
      <c r="F168" s="210"/>
      <c r="G168" s="210"/>
      <c r="H168" s="210"/>
      <c r="I168" s="210"/>
      <c r="J168" s="210"/>
      <c r="K168" s="210"/>
      <c r="L168" s="210"/>
      <c r="M168" s="210"/>
      <c r="N168" s="210"/>
      <c r="O168" s="210"/>
      <c r="P168" s="210"/>
      <c r="Q168" s="210"/>
      <c r="R168" s="210"/>
      <c r="S168" s="210"/>
      <c r="T168" s="210"/>
      <c r="U168" s="210"/>
      <c r="V168" s="210"/>
      <c r="W168" s="210"/>
      <c r="X168" s="210"/>
      <c r="Y168" s="210"/>
      <c r="Z168" s="210"/>
    </row>
    <row r="169" spans="1:26" ht="9.75" customHeight="1" x14ac:dyDescent="0.25">
      <c r="A169" s="210"/>
      <c r="B169" s="210"/>
      <c r="C169" s="210"/>
      <c r="D169" s="210"/>
      <c r="E169" s="210"/>
      <c r="F169" s="210"/>
      <c r="G169" s="210"/>
      <c r="H169" s="210"/>
      <c r="I169" s="210"/>
      <c r="J169" s="210"/>
      <c r="K169" s="210"/>
      <c r="L169" s="210"/>
      <c r="M169" s="210"/>
      <c r="N169" s="210"/>
      <c r="O169" s="210"/>
      <c r="P169" s="210"/>
      <c r="Q169" s="210"/>
      <c r="R169" s="210"/>
      <c r="S169" s="210"/>
      <c r="T169" s="210"/>
      <c r="U169" s="210"/>
      <c r="V169" s="210"/>
      <c r="W169" s="210"/>
      <c r="X169" s="210"/>
      <c r="Y169" s="210"/>
      <c r="Z169" s="210"/>
    </row>
    <row r="170" spans="1:26" ht="9.75" customHeight="1" x14ac:dyDescent="0.25">
      <c r="A170" s="210"/>
      <c r="B170" s="210"/>
      <c r="C170" s="210"/>
      <c r="D170" s="210"/>
      <c r="E170" s="210"/>
      <c r="F170" s="210"/>
      <c r="G170" s="210"/>
      <c r="H170" s="210"/>
      <c r="I170" s="210"/>
      <c r="J170" s="210"/>
      <c r="K170" s="210"/>
      <c r="L170" s="210"/>
      <c r="M170" s="210"/>
      <c r="N170" s="210"/>
      <c r="O170" s="210"/>
      <c r="P170" s="210"/>
      <c r="Q170" s="210"/>
      <c r="R170" s="210"/>
      <c r="S170" s="210"/>
      <c r="T170" s="210"/>
      <c r="U170" s="210"/>
      <c r="V170" s="210"/>
      <c r="W170" s="210"/>
      <c r="X170" s="210"/>
      <c r="Y170" s="210"/>
      <c r="Z170" s="210"/>
    </row>
    <row r="171" spans="1:26" ht="9.75" customHeight="1" x14ac:dyDescent="0.25">
      <c r="A171" s="210"/>
      <c r="B171" s="210"/>
      <c r="C171" s="210"/>
      <c r="D171" s="210"/>
      <c r="E171" s="210"/>
      <c r="F171" s="210"/>
      <c r="G171" s="210"/>
      <c r="H171" s="210"/>
      <c r="I171" s="210"/>
      <c r="J171" s="210"/>
      <c r="K171" s="210"/>
      <c r="L171" s="210"/>
      <c r="M171" s="210"/>
      <c r="N171" s="210"/>
      <c r="O171" s="210"/>
      <c r="P171" s="210"/>
      <c r="Q171" s="210"/>
      <c r="R171" s="210"/>
      <c r="S171" s="210"/>
      <c r="T171" s="210"/>
      <c r="U171" s="210"/>
      <c r="V171" s="210"/>
      <c r="W171" s="210"/>
      <c r="X171" s="210"/>
      <c r="Y171" s="210"/>
      <c r="Z171" s="210"/>
    </row>
    <row r="172" spans="1:26" ht="9.75" customHeight="1" x14ac:dyDescent="0.25">
      <c r="A172" s="210"/>
      <c r="B172" s="210"/>
      <c r="C172" s="210"/>
      <c r="D172" s="210"/>
      <c r="E172" s="210"/>
      <c r="F172" s="210"/>
      <c r="G172" s="210"/>
      <c r="H172" s="210"/>
      <c r="I172" s="210"/>
      <c r="J172" s="210"/>
      <c r="K172" s="210"/>
      <c r="L172" s="210"/>
      <c r="M172" s="210"/>
      <c r="N172" s="210"/>
      <c r="O172" s="210"/>
      <c r="P172" s="210"/>
      <c r="Q172" s="210"/>
      <c r="R172" s="210"/>
      <c r="S172" s="210"/>
      <c r="T172" s="210"/>
      <c r="U172" s="210"/>
      <c r="V172" s="210"/>
      <c r="W172" s="210"/>
      <c r="X172" s="210"/>
      <c r="Y172" s="210"/>
      <c r="Z172" s="210"/>
    </row>
    <row r="173" spans="1:26" ht="9.75" customHeight="1" x14ac:dyDescent="0.25">
      <c r="A173" s="210"/>
      <c r="B173" s="210"/>
      <c r="C173" s="210"/>
      <c r="D173" s="210"/>
      <c r="E173" s="210"/>
      <c r="F173" s="210"/>
      <c r="G173" s="210"/>
      <c r="H173" s="210"/>
      <c r="I173" s="210"/>
      <c r="J173" s="210"/>
      <c r="K173" s="210"/>
      <c r="L173" s="210"/>
      <c r="M173" s="210"/>
      <c r="N173" s="210"/>
      <c r="O173" s="210"/>
      <c r="P173" s="210"/>
      <c r="Q173" s="210"/>
      <c r="R173" s="210"/>
      <c r="S173" s="210"/>
      <c r="T173" s="210"/>
      <c r="U173" s="210"/>
      <c r="V173" s="210"/>
      <c r="W173" s="210"/>
      <c r="X173" s="210"/>
      <c r="Y173" s="210"/>
      <c r="Z173" s="210"/>
    </row>
    <row r="174" spans="1:26" ht="9.75" customHeight="1" x14ac:dyDescent="0.25">
      <c r="A174" s="210"/>
      <c r="B174" s="210"/>
      <c r="C174" s="210"/>
      <c r="D174" s="210"/>
      <c r="E174" s="210"/>
      <c r="F174" s="210"/>
      <c r="G174" s="210"/>
      <c r="H174" s="210"/>
      <c r="I174" s="210"/>
      <c r="J174" s="210"/>
      <c r="K174" s="210"/>
      <c r="L174" s="210"/>
      <c r="M174" s="210"/>
      <c r="N174" s="210"/>
      <c r="O174" s="210"/>
      <c r="P174" s="210"/>
      <c r="Q174" s="210"/>
      <c r="R174" s="210"/>
      <c r="S174" s="210"/>
      <c r="T174" s="210"/>
      <c r="U174" s="210"/>
      <c r="V174" s="210"/>
      <c r="W174" s="210"/>
      <c r="X174" s="210"/>
      <c r="Y174" s="210"/>
      <c r="Z174" s="210"/>
    </row>
    <row r="175" spans="1:26" ht="9.75" customHeight="1" x14ac:dyDescent="0.25">
      <c r="A175" s="210"/>
      <c r="B175" s="210"/>
      <c r="C175" s="210"/>
      <c r="D175" s="210"/>
      <c r="E175" s="210"/>
      <c r="F175" s="210"/>
      <c r="G175" s="210"/>
      <c r="H175" s="210"/>
      <c r="I175" s="210"/>
      <c r="J175" s="210"/>
      <c r="K175" s="210"/>
      <c r="L175" s="210"/>
      <c r="M175" s="210"/>
      <c r="N175" s="210"/>
      <c r="O175" s="210"/>
      <c r="P175" s="210"/>
      <c r="Q175" s="210"/>
      <c r="R175" s="210"/>
      <c r="S175" s="210"/>
      <c r="T175" s="210"/>
      <c r="U175" s="210"/>
      <c r="V175" s="210"/>
      <c r="W175" s="210"/>
      <c r="X175" s="210"/>
      <c r="Y175" s="210"/>
      <c r="Z175" s="210"/>
    </row>
    <row r="176" spans="1:26" ht="9.75" customHeight="1" x14ac:dyDescent="0.25">
      <c r="A176" s="210"/>
      <c r="B176" s="210"/>
      <c r="C176" s="210"/>
      <c r="D176" s="210"/>
      <c r="E176" s="210"/>
      <c r="F176" s="210"/>
      <c r="G176" s="210"/>
      <c r="H176" s="210"/>
      <c r="I176" s="210"/>
      <c r="J176" s="210"/>
      <c r="K176" s="210"/>
      <c r="L176" s="210"/>
      <c r="M176" s="210"/>
      <c r="N176" s="210"/>
      <c r="O176" s="210"/>
      <c r="P176" s="210"/>
      <c r="Q176" s="210"/>
      <c r="R176" s="210"/>
      <c r="S176" s="210"/>
      <c r="T176" s="210"/>
      <c r="U176" s="210"/>
      <c r="V176" s="210"/>
      <c r="W176" s="210"/>
      <c r="X176" s="210"/>
      <c r="Y176" s="210"/>
      <c r="Z176" s="210"/>
    </row>
    <row r="177" spans="1:26" ht="9.75" customHeight="1" x14ac:dyDescent="0.25">
      <c r="A177" s="210"/>
      <c r="B177" s="210"/>
      <c r="C177" s="210"/>
      <c r="D177" s="210"/>
      <c r="E177" s="210"/>
      <c r="F177" s="210"/>
      <c r="G177" s="210"/>
      <c r="H177" s="210"/>
      <c r="I177" s="210"/>
      <c r="J177" s="210"/>
      <c r="K177" s="210"/>
      <c r="L177" s="210"/>
      <c r="M177" s="210"/>
      <c r="N177" s="210"/>
      <c r="O177" s="210"/>
      <c r="P177" s="210"/>
      <c r="Q177" s="210"/>
      <c r="R177" s="210"/>
      <c r="S177" s="210"/>
      <c r="T177" s="210"/>
      <c r="U177" s="210"/>
      <c r="V177" s="210"/>
      <c r="W177" s="210"/>
      <c r="X177" s="210"/>
      <c r="Y177" s="210"/>
      <c r="Z177" s="210"/>
    </row>
    <row r="178" spans="1:26" ht="9.75" customHeight="1" x14ac:dyDescent="0.25">
      <c r="A178" s="210"/>
      <c r="B178" s="210"/>
      <c r="C178" s="210"/>
      <c r="D178" s="210"/>
      <c r="E178" s="210"/>
      <c r="F178" s="210"/>
      <c r="G178" s="210"/>
      <c r="H178" s="210"/>
      <c r="I178" s="210"/>
      <c r="J178" s="210"/>
      <c r="K178" s="210"/>
      <c r="L178" s="210"/>
      <c r="M178" s="210"/>
      <c r="N178" s="210"/>
      <c r="O178" s="210"/>
      <c r="P178" s="210"/>
      <c r="Q178" s="210"/>
      <c r="R178" s="210"/>
      <c r="S178" s="210"/>
      <c r="T178" s="210"/>
      <c r="U178" s="210"/>
      <c r="V178" s="210"/>
      <c r="W178" s="210"/>
      <c r="X178" s="210"/>
      <c r="Y178" s="210"/>
      <c r="Z178" s="210"/>
    </row>
    <row r="179" spans="1:26" ht="9.75" customHeight="1" x14ac:dyDescent="0.25">
      <c r="A179" s="210"/>
      <c r="B179" s="210"/>
      <c r="C179" s="210"/>
      <c r="D179" s="210"/>
      <c r="E179" s="210"/>
      <c r="F179" s="210"/>
      <c r="G179" s="210"/>
      <c r="H179" s="210"/>
      <c r="I179" s="210"/>
      <c r="J179" s="210"/>
      <c r="K179" s="210"/>
      <c r="L179" s="210"/>
      <c r="M179" s="210"/>
      <c r="N179" s="210"/>
      <c r="O179" s="210"/>
      <c r="P179" s="210"/>
      <c r="Q179" s="210"/>
      <c r="R179" s="210"/>
      <c r="S179" s="210"/>
      <c r="T179" s="210"/>
      <c r="U179" s="210"/>
      <c r="V179" s="210"/>
      <c r="W179" s="210"/>
      <c r="X179" s="210"/>
      <c r="Y179" s="210"/>
      <c r="Z179" s="210"/>
    </row>
    <row r="180" spans="1:26" ht="9.75" customHeight="1" x14ac:dyDescent="0.25">
      <c r="A180" s="210"/>
      <c r="B180" s="210"/>
      <c r="C180" s="210"/>
      <c r="D180" s="210"/>
      <c r="E180" s="210"/>
      <c r="F180" s="210"/>
      <c r="G180" s="210"/>
      <c r="H180" s="210"/>
      <c r="I180" s="210"/>
      <c r="J180" s="210"/>
      <c r="K180" s="210"/>
      <c r="L180" s="210"/>
      <c r="M180" s="210"/>
      <c r="N180" s="210"/>
      <c r="O180" s="210"/>
      <c r="P180" s="210"/>
      <c r="Q180" s="210"/>
      <c r="R180" s="210"/>
      <c r="S180" s="210"/>
      <c r="T180" s="210"/>
      <c r="U180" s="210"/>
      <c r="V180" s="210"/>
      <c r="W180" s="210"/>
      <c r="X180" s="210"/>
      <c r="Y180" s="210"/>
      <c r="Z180" s="210"/>
    </row>
    <row r="181" spans="1:26" ht="9.75" customHeight="1" x14ac:dyDescent="0.25">
      <c r="A181" s="210"/>
      <c r="B181" s="210"/>
      <c r="C181" s="210"/>
      <c r="D181" s="210"/>
      <c r="E181" s="210"/>
      <c r="F181" s="210"/>
      <c r="G181" s="210"/>
      <c r="H181" s="210"/>
      <c r="I181" s="210"/>
      <c r="J181" s="210"/>
      <c r="K181" s="210"/>
      <c r="L181" s="210"/>
      <c r="M181" s="210"/>
      <c r="N181" s="210"/>
      <c r="O181" s="210"/>
      <c r="P181" s="210"/>
      <c r="Q181" s="210"/>
      <c r="R181" s="210"/>
      <c r="S181" s="210"/>
      <c r="T181" s="210"/>
      <c r="U181" s="210"/>
      <c r="V181" s="210"/>
      <c r="W181" s="210"/>
      <c r="X181" s="210"/>
      <c r="Y181" s="210"/>
      <c r="Z181" s="210"/>
    </row>
    <row r="182" spans="1:26" ht="9.75" customHeight="1" x14ac:dyDescent="0.25">
      <c r="A182" s="210"/>
      <c r="B182" s="210"/>
      <c r="C182" s="210"/>
      <c r="D182" s="210"/>
      <c r="E182" s="210"/>
      <c r="F182" s="210"/>
      <c r="G182" s="210"/>
      <c r="H182" s="210"/>
      <c r="I182" s="210"/>
      <c r="J182" s="210"/>
      <c r="K182" s="210"/>
      <c r="L182" s="210"/>
      <c r="M182" s="210"/>
      <c r="N182" s="210"/>
      <c r="O182" s="210"/>
      <c r="P182" s="210"/>
      <c r="Q182" s="210"/>
      <c r="R182" s="210"/>
      <c r="S182" s="210"/>
      <c r="T182" s="210"/>
      <c r="U182" s="210"/>
      <c r="V182" s="210"/>
      <c r="W182" s="210"/>
      <c r="X182" s="210"/>
      <c r="Y182" s="210"/>
      <c r="Z182" s="210"/>
    </row>
    <row r="183" spans="1:26" ht="9.75" customHeight="1" x14ac:dyDescent="0.25">
      <c r="A183" s="210"/>
      <c r="B183" s="210"/>
      <c r="C183" s="210"/>
      <c r="D183" s="210"/>
      <c r="E183" s="210"/>
      <c r="F183" s="210"/>
      <c r="G183" s="210"/>
      <c r="H183" s="210"/>
      <c r="I183" s="210"/>
      <c r="J183" s="210"/>
      <c r="K183" s="210"/>
      <c r="L183" s="210"/>
      <c r="M183" s="210"/>
      <c r="N183" s="210"/>
      <c r="O183" s="210"/>
      <c r="P183" s="210"/>
      <c r="Q183" s="210"/>
      <c r="R183" s="210"/>
      <c r="S183" s="210"/>
      <c r="T183" s="210"/>
      <c r="U183" s="210"/>
      <c r="V183" s="210"/>
      <c r="W183" s="210"/>
      <c r="X183" s="210"/>
      <c r="Y183" s="210"/>
      <c r="Z183" s="210"/>
    </row>
    <row r="184" spans="1:26" ht="9.75" customHeight="1" x14ac:dyDescent="0.25">
      <c r="A184" s="210"/>
      <c r="B184" s="210"/>
      <c r="C184" s="210"/>
      <c r="D184" s="210"/>
      <c r="E184" s="210"/>
      <c r="F184" s="210"/>
      <c r="G184" s="210"/>
      <c r="H184" s="210"/>
      <c r="I184" s="210"/>
      <c r="J184" s="210"/>
      <c r="K184" s="210"/>
      <c r="L184" s="210"/>
      <c r="M184" s="210"/>
      <c r="N184" s="210"/>
      <c r="O184" s="210"/>
      <c r="P184" s="210"/>
      <c r="Q184" s="210"/>
      <c r="R184" s="210"/>
      <c r="S184" s="210"/>
      <c r="T184" s="210"/>
      <c r="U184" s="210"/>
      <c r="V184" s="210"/>
      <c r="W184" s="210"/>
      <c r="X184" s="210"/>
      <c r="Y184" s="210"/>
      <c r="Z184" s="210"/>
    </row>
    <row r="185" spans="1:26" ht="9.75" customHeight="1" x14ac:dyDescent="0.25">
      <c r="A185" s="210"/>
      <c r="B185" s="210"/>
      <c r="C185" s="210"/>
      <c r="D185" s="210"/>
      <c r="E185" s="210"/>
      <c r="F185" s="210"/>
      <c r="G185" s="210"/>
      <c r="H185" s="210"/>
      <c r="I185" s="210"/>
      <c r="J185" s="210"/>
      <c r="K185" s="210"/>
      <c r="L185" s="210"/>
      <c r="M185" s="210"/>
      <c r="N185" s="210"/>
      <c r="O185" s="210"/>
      <c r="P185" s="210"/>
      <c r="Q185" s="210"/>
      <c r="R185" s="210"/>
      <c r="S185" s="210"/>
      <c r="T185" s="210"/>
      <c r="U185" s="210"/>
      <c r="V185" s="210"/>
      <c r="W185" s="210"/>
      <c r="X185" s="210"/>
      <c r="Y185" s="210"/>
      <c r="Z185" s="210"/>
    </row>
    <row r="186" spans="1:26" ht="9.75" customHeight="1" x14ac:dyDescent="0.25">
      <c r="A186" s="210"/>
      <c r="B186" s="210"/>
      <c r="C186" s="210"/>
      <c r="D186" s="210"/>
      <c r="E186" s="210"/>
      <c r="F186" s="210"/>
      <c r="G186" s="210"/>
      <c r="H186" s="210"/>
      <c r="I186" s="210"/>
      <c r="J186" s="210"/>
      <c r="K186" s="210"/>
      <c r="L186" s="210"/>
      <c r="M186" s="210"/>
      <c r="N186" s="210"/>
      <c r="O186" s="210"/>
      <c r="P186" s="210"/>
      <c r="Q186" s="210"/>
      <c r="R186" s="210"/>
      <c r="S186" s="210"/>
      <c r="T186" s="210"/>
      <c r="U186" s="210"/>
      <c r="V186" s="210"/>
      <c r="W186" s="210"/>
      <c r="X186" s="210"/>
      <c r="Y186" s="210"/>
      <c r="Z186" s="210"/>
    </row>
    <row r="187" spans="1:26" ht="9.75" customHeight="1" x14ac:dyDescent="0.25">
      <c r="A187" s="210"/>
      <c r="B187" s="210"/>
      <c r="C187" s="210"/>
      <c r="D187" s="210"/>
      <c r="E187" s="210"/>
      <c r="F187" s="210"/>
      <c r="G187" s="210"/>
      <c r="H187" s="210"/>
      <c r="I187" s="210"/>
      <c r="J187" s="210"/>
      <c r="K187" s="210"/>
      <c r="L187" s="210"/>
      <c r="M187" s="210"/>
      <c r="N187" s="210"/>
      <c r="O187" s="210"/>
      <c r="P187" s="210"/>
      <c r="Q187" s="210"/>
      <c r="R187" s="210"/>
      <c r="S187" s="210"/>
      <c r="T187" s="210"/>
      <c r="U187" s="210"/>
      <c r="V187" s="210"/>
      <c r="W187" s="210"/>
      <c r="X187" s="210"/>
      <c r="Y187" s="210"/>
      <c r="Z187" s="210"/>
    </row>
    <row r="188" spans="1:26" ht="9.75" customHeight="1" x14ac:dyDescent="0.25">
      <c r="A188" s="210"/>
      <c r="B188" s="210"/>
      <c r="C188" s="210"/>
      <c r="D188" s="210"/>
      <c r="E188" s="210"/>
      <c r="F188" s="210"/>
      <c r="G188" s="210"/>
      <c r="H188" s="210"/>
      <c r="I188" s="210"/>
      <c r="J188" s="210"/>
      <c r="K188" s="210"/>
      <c r="L188" s="210"/>
      <c r="M188" s="210"/>
      <c r="N188" s="210"/>
      <c r="O188" s="210"/>
      <c r="P188" s="210"/>
      <c r="Q188" s="210"/>
      <c r="R188" s="210"/>
      <c r="S188" s="210"/>
      <c r="T188" s="210"/>
      <c r="U188" s="210"/>
      <c r="V188" s="210"/>
      <c r="W188" s="210"/>
      <c r="X188" s="210"/>
      <c r="Y188" s="210"/>
      <c r="Z188" s="210"/>
    </row>
    <row r="189" spans="1:26" ht="9.75" customHeight="1" x14ac:dyDescent="0.25">
      <c r="A189" s="210"/>
      <c r="B189" s="210"/>
      <c r="C189" s="210"/>
      <c r="D189" s="210"/>
      <c r="E189" s="210"/>
      <c r="F189" s="210"/>
      <c r="G189" s="210"/>
      <c r="H189" s="210"/>
      <c r="I189" s="210"/>
      <c r="J189" s="210"/>
      <c r="K189" s="210"/>
      <c r="L189" s="210"/>
      <c r="M189" s="210"/>
      <c r="N189" s="210"/>
      <c r="O189" s="210"/>
      <c r="P189" s="210"/>
      <c r="Q189" s="210"/>
      <c r="R189" s="210"/>
      <c r="S189" s="210"/>
      <c r="T189" s="210"/>
      <c r="U189" s="210"/>
      <c r="V189" s="210"/>
      <c r="W189" s="210"/>
      <c r="X189" s="210"/>
      <c r="Y189" s="210"/>
      <c r="Z189" s="210"/>
    </row>
    <row r="190" spans="1:26" ht="9.75" customHeight="1" x14ac:dyDescent="0.25">
      <c r="A190" s="210"/>
      <c r="B190" s="210"/>
      <c r="C190" s="210"/>
      <c r="D190" s="210"/>
      <c r="E190" s="210"/>
      <c r="F190" s="210"/>
      <c r="G190" s="210"/>
      <c r="H190" s="210"/>
      <c r="I190" s="210"/>
      <c r="J190" s="210"/>
      <c r="K190" s="210"/>
      <c r="L190" s="210"/>
      <c r="M190" s="210"/>
      <c r="N190" s="210"/>
      <c r="O190" s="210"/>
      <c r="P190" s="210"/>
      <c r="Q190" s="210"/>
      <c r="R190" s="210"/>
      <c r="S190" s="210"/>
      <c r="T190" s="210"/>
      <c r="U190" s="210"/>
      <c r="V190" s="210"/>
      <c r="W190" s="210"/>
      <c r="X190" s="210"/>
      <c r="Y190" s="210"/>
      <c r="Z190" s="210"/>
    </row>
    <row r="191" spans="1:26" ht="9.75" customHeight="1" x14ac:dyDescent="0.25">
      <c r="A191" s="210"/>
      <c r="B191" s="210"/>
      <c r="C191" s="210"/>
      <c r="D191" s="210"/>
      <c r="E191" s="210"/>
      <c r="F191" s="210"/>
      <c r="G191" s="210"/>
      <c r="H191" s="210"/>
      <c r="I191" s="210"/>
      <c r="J191" s="210"/>
      <c r="K191" s="210"/>
      <c r="L191" s="210"/>
      <c r="M191" s="210"/>
      <c r="N191" s="210"/>
      <c r="O191" s="210"/>
      <c r="P191" s="210"/>
      <c r="Q191" s="210"/>
      <c r="R191" s="210"/>
      <c r="S191" s="210"/>
      <c r="T191" s="210"/>
      <c r="U191" s="210"/>
      <c r="V191" s="210"/>
      <c r="W191" s="210"/>
      <c r="X191" s="210"/>
      <c r="Y191" s="210"/>
      <c r="Z191" s="210"/>
    </row>
    <row r="192" spans="1:26" ht="9.75" customHeight="1" x14ac:dyDescent="0.25">
      <c r="A192" s="210"/>
      <c r="B192" s="210"/>
      <c r="C192" s="210"/>
      <c r="D192" s="210"/>
      <c r="E192" s="210"/>
      <c r="F192" s="210"/>
      <c r="G192" s="210"/>
      <c r="H192" s="210"/>
      <c r="I192" s="210"/>
      <c r="J192" s="210"/>
      <c r="K192" s="210"/>
      <c r="L192" s="210"/>
      <c r="M192" s="210"/>
      <c r="N192" s="210"/>
      <c r="O192" s="210"/>
      <c r="P192" s="210"/>
      <c r="Q192" s="210"/>
      <c r="R192" s="210"/>
      <c r="S192" s="210"/>
      <c r="T192" s="210"/>
      <c r="U192" s="210"/>
      <c r="V192" s="210"/>
      <c r="W192" s="210"/>
      <c r="X192" s="210"/>
      <c r="Y192" s="210"/>
      <c r="Z192" s="210"/>
    </row>
    <row r="193" spans="1:26" ht="9.75" customHeight="1" x14ac:dyDescent="0.25">
      <c r="A193" s="210"/>
      <c r="B193" s="210"/>
      <c r="C193" s="210"/>
      <c r="D193" s="210"/>
      <c r="E193" s="210"/>
      <c r="F193" s="210"/>
      <c r="G193" s="210"/>
      <c r="H193" s="210"/>
      <c r="I193" s="210"/>
      <c r="J193" s="210"/>
      <c r="K193" s="210"/>
      <c r="L193" s="210"/>
      <c r="M193" s="210"/>
      <c r="N193" s="210"/>
      <c r="O193" s="210"/>
      <c r="P193" s="210"/>
      <c r="Q193" s="210"/>
      <c r="R193" s="210"/>
      <c r="S193" s="210"/>
      <c r="T193" s="210"/>
      <c r="U193" s="210"/>
      <c r="V193" s="210"/>
      <c r="W193" s="210"/>
      <c r="X193" s="210"/>
      <c r="Y193" s="210"/>
      <c r="Z193" s="210"/>
    </row>
    <row r="194" spans="1:26" ht="9.75" customHeight="1" x14ac:dyDescent="0.25">
      <c r="A194" s="210"/>
      <c r="B194" s="210"/>
      <c r="C194" s="210"/>
      <c r="D194" s="210"/>
      <c r="E194" s="210"/>
      <c r="F194" s="210"/>
      <c r="G194" s="210"/>
      <c r="H194" s="210"/>
      <c r="I194" s="210"/>
      <c r="J194" s="210"/>
      <c r="K194" s="210"/>
      <c r="L194" s="210"/>
      <c r="M194" s="210"/>
      <c r="N194" s="210"/>
      <c r="O194" s="210"/>
      <c r="P194" s="210"/>
      <c r="Q194" s="210"/>
      <c r="R194" s="210"/>
      <c r="S194" s="210"/>
      <c r="T194" s="210"/>
      <c r="U194" s="210"/>
      <c r="V194" s="210"/>
      <c r="W194" s="210"/>
      <c r="X194" s="210"/>
      <c r="Y194" s="210"/>
      <c r="Z194" s="210"/>
    </row>
    <row r="195" spans="1:26" ht="9.75" customHeight="1" x14ac:dyDescent="0.25">
      <c r="A195" s="210"/>
      <c r="B195" s="210"/>
      <c r="C195" s="210"/>
      <c r="D195" s="210"/>
      <c r="E195" s="210"/>
      <c r="F195" s="210"/>
      <c r="G195" s="210"/>
      <c r="H195" s="210"/>
      <c r="I195" s="210"/>
      <c r="J195" s="210"/>
      <c r="K195" s="210"/>
      <c r="L195" s="210"/>
      <c r="M195" s="210"/>
      <c r="N195" s="210"/>
      <c r="O195" s="210"/>
      <c r="P195" s="210"/>
      <c r="Q195" s="210"/>
      <c r="R195" s="210"/>
      <c r="S195" s="210"/>
      <c r="T195" s="210"/>
      <c r="U195" s="210"/>
      <c r="V195" s="210"/>
      <c r="W195" s="210"/>
      <c r="X195" s="210"/>
      <c r="Y195" s="210"/>
      <c r="Z195" s="210"/>
    </row>
    <row r="196" spans="1:26" ht="9.75" customHeight="1" x14ac:dyDescent="0.25">
      <c r="A196" s="210"/>
      <c r="B196" s="210"/>
      <c r="C196" s="210"/>
      <c r="D196" s="210"/>
      <c r="E196" s="210"/>
      <c r="F196" s="210"/>
      <c r="G196" s="210"/>
      <c r="H196" s="210"/>
      <c r="I196" s="210"/>
      <c r="J196" s="210"/>
      <c r="K196" s="210"/>
      <c r="L196" s="210"/>
      <c r="M196" s="210"/>
      <c r="N196" s="210"/>
      <c r="O196" s="210"/>
      <c r="P196" s="210"/>
      <c r="Q196" s="210"/>
      <c r="R196" s="210"/>
      <c r="S196" s="210"/>
      <c r="T196" s="210"/>
      <c r="U196" s="210"/>
      <c r="V196" s="210"/>
      <c r="W196" s="210"/>
      <c r="X196" s="210"/>
      <c r="Y196" s="210"/>
      <c r="Z196" s="210"/>
    </row>
    <row r="197" spans="1:26" ht="9.75" customHeight="1" x14ac:dyDescent="0.25">
      <c r="A197" s="210"/>
      <c r="B197" s="210"/>
      <c r="C197" s="210"/>
      <c r="D197" s="210"/>
      <c r="E197" s="210"/>
      <c r="F197" s="210"/>
      <c r="G197" s="210"/>
      <c r="H197" s="210"/>
      <c r="I197" s="210"/>
      <c r="J197" s="210"/>
      <c r="K197" s="210"/>
      <c r="L197" s="210"/>
      <c r="M197" s="210"/>
      <c r="N197" s="210"/>
      <c r="O197" s="210"/>
      <c r="P197" s="210"/>
      <c r="Q197" s="210"/>
      <c r="R197" s="210"/>
      <c r="S197" s="210"/>
      <c r="T197" s="210"/>
      <c r="U197" s="210"/>
      <c r="V197" s="210"/>
      <c r="W197" s="210"/>
      <c r="X197" s="210"/>
      <c r="Y197" s="210"/>
      <c r="Z197" s="210"/>
    </row>
    <row r="198" spans="1:26" ht="9.75" customHeight="1" x14ac:dyDescent="0.25">
      <c r="A198" s="210"/>
      <c r="B198" s="210"/>
      <c r="C198" s="210"/>
      <c r="D198" s="210"/>
      <c r="E198" s="210"/>
      <c r="F198" s="210"/>
      <c r="G198" s="210"/>
      <c r="H198" s="210"/>
      <c r="I198" s="210"/>
      <c r="J198" s="210"/>
      <c r="K198" s="210"/>
      <c r="L198" s="210"/>
      <c r="M198" s="210"/>
      <c r="N198" s="210"/>
      <c r="O198" s="210"/>
      <c r="P198" s="210"/>
      <c r="Q198" s="210"/>
      <c r="R198" s="210"/>
      <c r="S198" s="210"/>
      <c r="T198" s="210"/>
      <c r="U198" s="210"/>
      <c r="V198" s="210"/>
      <c r="W198" s="210"/>
      <c r="X198" s="210"/>
      <c r="Y198" s="210"/>
      <c r="Z198" s="210"/>
    </row>
    <row r="199" spans="1:26" ht="9.75" customHeight="1" x14ac:dyDescent="0.25">
      <c r="A199" s="210"/>
      <c r="B199" s="210"/>
      <c r="C199" s="210"/>
      <c r="D199" s="210"/>
      <c r="E199" s="210"/>
      <c r="F199" s="210"/>
      <c r="G199" s="210"/>
      <c r="H199" s="210"/>
      <c r="I199" s="210"/>
      <c r="J199" s="210"/>
      <c r="K199" s="210"/>
      <c r="L199" s="210"/>
      <c r="M199" s="210"/>
      <c r="N199" s="210"/>
      <c r="O199" s="210"/>
      <c r="P199" s="210"/>
      <c r="Q199" s="210"/>
      <c r="R199" s="210"/>
      <c r="S199" s="210"/>
      <c r="T199" s="210"/>
      <c r="U199" s="210"/>
      <c r="V199" s="210"/>
      <c r="W199" s="210"/>
      <c r="X199" s="210"/>
      <c r="Y199" s="210"/>
      <c r="Z199" s="210"/>
    </row>
    <row r="200" spans="1:26" ht="9.75" customHeight="1" x14ac:dyDescent="0.25">
      <c r="A200" s="210"/>
      <c r="B200" s="210"/>
      <c r="C200" s="210"/>
      <c r="D200" s="210"/>
      <c r="E200" s="210"/>
      <c r="F200" s="210"/>
      <c r="G200" s="210"/>
      <c r="H200" s="210"/>
      <c r="I200" s="210"/>
      <c r="J200" s="210"/>
      <c r="K200" s="210"/>
      <c r="L200" s="210"/>
      <c r="M200" s="210"/>
      <c r="N200" s="210"/>
      <c r="O200" s="210"/>
      <c r="P200" s="210"/>
      <c r="Q200" s="210"/>
      <c r="R200" s="210"/>
      <c r="S200" s="210"/>
      <c r="T200" s="210"/>
      <c r="U200" s="210"/>
      <c r="V200" s="210"/>
      <c r="W200" s="210"/>
      <c r="X200" s="210"/>
      <c r="Y200" s="210"/>
      <c r="Z200" s="210"/>
    </row>
    <row r="201" spans="1:26" ht="9.75" customHeight="1" x14ac:dyDescent="0.25">
      <c r="A201" s="210"/>
      <c r="B201" s="210"/>
      <c r="C201" s="210"/>
      <c r="D201" s="210"/>
      <c r="E201" s="210"/>
      <c r="F201" s="210"/>
      <c r="G201" s="210"/>
      <c r="H201" s="210"/>
      <c r="I201" s="210"/>
      <c r="J201" s="210"/>
      <c r="K201" s="210"/>
      <c r="L201" s="210"/>
      <c r="M201" s="210"/>
      <c r="N201" s="210"/>
      <c r="O201" s="210"/>
      <c r="P201" s="210"/>
      <c r="Q201" s="210"/>
      <c r="R201" s="210"/>
      <c r="S201" s="210"/>
      <c r="T201" s="210"/>
      <c r="U201" s="210"/>
      <c r="V201" s="210"/>
      <c r="W201" s="210"/>
      <c r="X201" s="210"/>
      <c r="Y201" s="210"/>
      <c r="Z201" s="210"/>
    </row>
    <row r="202" spans="1:26" ht="9.75" customHeight="1" x14ac:dyDescent="0.25">
      <c r="A202" s="210"/>
      <c r="B202" s="210"/>
      <c r="C202" s="210"/>
      <c r="D202" s="210"/>
      <c r="E202" s="210"/>
      <c r="F202" s="210"/>
      <c r="G202" s="210"/>
      <c r="H202" s="210"/>
      <c r="I202" s="210"/>
      <c r="J202" s="210"/>
      <c r="K202" s="210"/>
      <c r="L202" s="210"/>
      <c r="M202" s="210"/>
      <c r="N202" s="210"/>
      <c r="O202" s="210"/>
      <c r="P202" s="210"/>
      <c r="Q202" s="210"/>
      <c r="R202" s="210"/>
      <c r="S202" s="210"/>
      <c r="T202" s="210"/>
      <c r="U202" s="210"/>
      <c r="V202" s="210"/>
      <c r="W202" s="210"/>
      <c r="X202" s="210"/>
      <c r="Y202" s="210"/>
      <c r="Z202" s="210"/>
    </row>
    <row r="203" spans="1:26" ht="9.75" customHeight="1" x14ac:dyDescent="0.25">
      <c r="A203" s="210"/>
      <c r="B203" s="210"/>
      <c r="C203" s="210"/>
      <c r="D203" s="210"/>
      <c r="E203" s="210"/>
      <c r="F203" s="210"/>
      <c r="G203" s="210"/>
      <c r="H203" s="210"/>
      <c r="I203" s="210"/>
      <c r="J203" s="210"/>
      <c r="K203" s="210"/>
      <c r="L203" s="210"/>
      <c r="M203" s="210"/>
      <c r="N203" s="210"/>
      <c r="O203" s="210"/>
      <c r="P203" s="210"/>
      <c r="Q203" s="210"/>
      <c r="R203" s="210"/>
      <c r="S203" s="210"/>
      <c r="T203" s="210"/>
      <c r="U203" s="210"/>
      <c r="V203" s="210"/>
      <c r="W203" s="210"/>
      <c r="X203" s="210"/>
      <c r="Y203" s="210"/>
      <c r="Z203" s="210"/>
    </row>
    <row r="204" spans="1:26" ht="9.75" customHeight="1" x14ac:dyDescent="0.25">
      <c r="A204" s="210"/>
      <c r="B204" s="210"/>
      <c r="C204" s="210"/>
      <c r="D204" s="210"/>
      <c r="E204" s="210"/>
      <c r="F204" s="210"/>
      <c r="G204" s="210"/>
      <c r="H204" s="210"/>
      <c r="I204" s="210"/>
      <c r="J204" s="210"/>
      <c r="K204" s="210"/>
      <c r="L204" s="210"/>
      <c r="M204" s="210"/>
      <c r="N204" s="210"/>
      <c r="O204" s="210"/>
      <c r="P204" s="210"/>
      <c r="Q204" s="210"/>
      <c r="R204" s="210"/>
      <c r="S204" s="210"/>
      <c r="T204" s="210"/>
      <c r="U204" s="210"/>
      <c r="V204" s="210"/>
      <c r="W204" s="210"/>
      <c r="X204" s="210"/>
      <c r="Y204" s="210"/>
      <c r="Z204" s="210"/>
    </row>
    <row r="205" spans="1:26" ht="9.75" customHeight="1" x14ac:dyDescent="0.25">
      <c r="A205" s="210"/>
      <c r="B205" s="210"/>
      <c r="C205" s="210"/>
      <c r="D205" s="210"/>
      <c r="E205" s="210"/>
      <c r="F205" s="210"/>
      <c r="G205" s="210"/>
      <c r="H205" s="210"/>
      <c r="I205" s="210"/>
      <c r="J205" s="210"/>
      <c r="K205" s="210"/>
      <c r="L205" s="210"/>
      <c r="M205" s="210"/>
      <c r="N205" s="210"/>
      <c r="O205" s="210"/>
      <c r="P205" s="210"/>
      <c r="Q205" s="210"/>
      <c r="R205" s="210"/>
      <c r="S205" s="210"/>
      <c r="T205" s="210"/>
      <c r="U205" s="210"/>
      <c r="V205" s="210"/>
      <c r="W205" s="210"/>
      <c r="X205" s="210"/>
      <c r="Y205" s="210"/>
      <c r="Z205" s="210"/>
    </row>
    <row r="206" spans="1:26" ht="9.75" customHeight="1" x14ac:dyDescent="0.25">
      <c r="A206" s="210"/>
      <c r="B206" s="210"/>
      <c r="C206" s="210"/>
      <c r="D206" s="210"/>
      <c r="E206" s="210"/>
      <c r="F206" s="210"/>
      <c r="G206" s="210"/>
      <c r="H206" s="210"/>
      <c r="I206" s="210"/>
      <c r="J206" s="210"/>
      <c r="K206" s="210"/>
      <c r="L206" s="210"/>
      <c r="M206" s="210"/>
      <c r="N206" s="210"/>
      <c r="O206" s="210"/>
      <c r="P206" s="210"/>
      <c r="Q206" s="210"/>
      <c r="R206" s="210"/>
      <c r="S206" s="210"/>
      <c r="T206" s="210"/>
      <c r="U206" s="210"/>
      <c r="V206" s="210"/>
      <c r="W206" s="210"/>
      <c r="X206" s="210"/>
      <c r="Y206" s="210"/>
      <c r="Z206" s="210"/>
    </row>
    <row r="207" spans="1:26" ht="9.75" customHeight="1" x14ac:dyDescent="0.25">
      <c r="A207" s="210"/>
      <c r="B207" s="210"/>
      <c r="C207" s="210"/>
      <c r="D207" s="210"/>
      <c r="E207" s="210"/>
      <c r="F207" s="210"/>
      <c r="G207" s="210"/>
      <c r="H207" s="210"/>
      <c r="I207" s="210"/>
      <c r="J207" s="210"/>
      <c r="K207" s="210"/>
      <c r="L207" s="210"/>
      <c r="M207" s="210"/>
      <c r="N207" s="210"/>
      <c r="O207" s="210"/>
      <c r="P207" s="210"/>
      <c r="Q207" s="210"/>
      <c r="R207" s="210"/>
      <c r="S207" s="210"/>
      <c r="T207" s="210"/>
      <c r="U207" s="210"/>
      <c r="V207" s="210"/>
      <c r="W207" s="210"/>
      <c r="X207" s="210"/>
      <c r="Y207" s="210"/>
      <c r="Z207" s="210"/>
    </row>
    <row r="208" spans="1:26" ht="9.75" customHeight="1" x14ac:dyDescent="0.25">
      <c r="A208" s="210"/>
      <c r="B208" s="210"/>
      <c r="C208" s="210"/>
      <c r="D208" s="210"/>
      <c r="E208" s="210"/>
      <c r="F208" s="210"/>
      <c r="G208" s="210"/>
      <c r="H208" s="210"/>
      <c r="I208" s="210"/>
      <c r="J208" s="210"/>
      <c r="K208" s="210"/>
      <c r="L208" s="210"/>
      <c r="M208" s="210"/>
      <c r="N208" s="210"/>
      <c r="O208" s="210"/>
      <c r="P208" s="210"/>
      <c r="Q208" s="210"/>
      <c r="R208" s="210"/>
      <c r="S208" s="210"/>
      <c r="T208" s="210"/>
      <c r="U208" s="210"/>
      <c r="V208" s="210"/>
      <c r="W208" s="210"/>
      <c r="X208" s="210"/>
      <c r="Y208" s="210"/>
      <c r="Z208" s="210"/>
    </row>
    <row r="209" spans="1:26" ht="9.75" customHeight="1" x14ac:dyDescent="0.25">
      <c r="A209" s="210"/>
      <c r="B209" s="210"/>
      <c r="C209" s="210"/>
      <c r="D209" s="210"/>
      <c r="E209" s="210"/>
      <c r="F209" s="210"/>
      <c r="G209" s="210"/>
      <c r="H209" s="210"/>
      <c r="I209" s="210"/>
      <c r="J209" s="210"/>
      <c r="K209" s="210"/>
      <c r="L209" s="210"/>
      <c r="M209" s="210"/>
      <c r="N209" s="210"/>
      <c r="O209" s="210"/>
      <c r="P209" s="210"/>
      <c r="Q209" s="210"/>
      <c r="R209" s="210"/>
      <c r="S209" s="210"/>
      <c r="T209" s="210"/>
      <c r="U209" s="210"/>
      <c r="V209" s="210"/>
      <c r="W209" s="210"/>
      <c r="X209" s="210"/>
      <c r="Y209" s="210"/>
      <c r="Z209" s="210"/>
    </row>
    <row r="210" spans="1:26" ht="9.75" customHeight="1" x14ac:dyDescent="0.25">
      <c r="A210" s="210"/>
      <c r="B210" s="210"/>
      <c r="C210" s="210"/>
      <c r="D210" s="210"/>
      <c r="E210" s="210"/>
      <c r="F210" s="210"/>
      <c r="G210" s="210"/>
      <c r="H210" s="210"/>
      <c r="I210" s="210"/>
      <c r="J210" s="210"/>
      <c r="K210" s="210"/>
      <c r="L210" s="210"/>
      <c r="M210" s="210"/>
      <c r="N210" s="210"/>
      <c r="O210" s="210"/>
      <c r="P210" s="210"/>
      <c r="Q210" s="210"/>
      <c r="R210" s="210"/>
      <c r="S210" s="210"/>
      <c r="T210" s="210"/>
      <c r="U210" s="210"/>
      <c r="V210" s="210"/>
      <c r="W210" s="210"/>
      <c r="X210" s="210"/>
      <c r="Y210" s="210"/>
      <c r="Z210" s="210"/>
    </row>
    <row r="211" spans="1:26" ht="9.75" customHeight="1" x14ac:dyDescent="0.25">
      <c r="A211" s="210"/>
      <c r="B211" s="210"/>
      <c r="C211" s="210"/>
      <c r="D211" s="210"/>
      <c r="E211" s="210"/>
      <c r="F211" s="210"/>
      <c r="G211" s="210"/>
      <c r="H211" s="210"/>
      <c r="I211" s="210"/>
      <c r="J211" s="210"/>
      <c r="K211" s="210"/>
      <c r="L211" s="210"/>
      <c r="M211" s="210"/>
      <c r="N211" s="210"/>
      <c r="O211" s="210"/>
      <c r="P211" s="210"/>
      <c r="Q211" s="210"/>
      <c r="R211" s="210"/>
      <c r="S211" s="210"/>
      <c r="T211" s="210"/>
      <c r="U211" s="210"/>
      <c r="V211" s="210"/>
      <c r="W211" s="210"/>
      <c r="X211" s="210"/>
      <c r="Y211" s="210"/>
      <c r="Z211" s="210"/>
    </row>
    <row r="212" spans="1:26" ht="9.75" customHeight="1" x14ac:dyDescent="0.25">
      <c r="A212" s="210"/>
      <c r="B212" s="210"/>
      <c r="C212" s="210"/>
      <c r="D212" s="210"/>
      <c r="E212" s="210"/>
      <c r="F212" s="210"/>
      <c r="G212" s="210"/>
      <c r="H212" s="210"/>
      <c r="I212" s="210"/>
      <c r="J212" s="210"/>
      <c r="K212" s="210"/>
      <c r="L212" s="210"/>
      <c r="M212" s="210"/>
      <c r="N212" s="210"/>
      <c r="O212" s="210"/>
      <c r="P212" s="210"/>
      <c r="Q212" s="210"/>
      <c r="R212" s="210"/>
      <c r="S212" s="210"/>
      <c r="T212" s="210"/>
      <c r="U212" s="210"/>
      <c r="V212" s="210"/>
      <c r="W212" s="210"/>
      <c r="X212" s="210"/>
      <c r="Y212" s="210"/>
      <c r="Z212" s="210"/>
    </row>
    <row r="213" spans="1:26" ht="9.75" customHeight="1" x14ac:dyDescent="0.25">
      <c r="A213" s="210"/>
      <c r="B213" s="210"/>
      <c r="C213" s="210"/>
      <c r="D213" s="210"/>
      <c r="E213" s="210"/>
      <c r="F213" s="210"/>
      <c r="G213" s="210"/>
      <c r="H213" s="210"/>
      <c r="I213" s="210"/>
      <c r="J213" s="210"/>
      <c r="K213" s="210"/>
      <c r="L213" s="210"/>
      <c r="M213" s="210"/>
      <c r="N213" s="210"/>
      <c r="O213" s="210"/>
      <c r="P213" s="210"/>
      <c r="Q213" s="210"/>
      <c r="R213" s="210"/>
      <c r="S213" s="210"/>
      <c r="T213" s="210"/>
      <c r="U213" s="210"/>
      <c r="V213" s="210"/>
      <c r="W213" s="210"/>
      <c r="X213" s="210"/>
      <c r="Y213" s="210"/>
      <c r="Z213" s="210"/>
    </row>
    <row r="214" spans="1:26" ht="9.75" customHeight="1" x14ac:dyDescent="0.25">
      <c r="A214" s="210"/>
      <c r="B214" s="210"/>
      <c r="C214" s="210"/>
      <c r="D214" s="210"/>
      <c r="E214" s="210"/>
      <c r="F214" s="210"/>
      <c r="G214" s="210"/>
      <c r="H214" s="210"/>
      <c r="I214" s="210"/>
      <c r="J214" s="210"/>
      <c r="K214" s="210"/>
      <c r="L214" s="210"/>
      <c r="M214" s="210"/>
      <c r="N214" s="210"/>
      <c r="O214" s="210"/>
      <c r="P214" s="210"/>
      <c r="Q214" s="210"/>
      <c r="R214" s="210"/>
      <c r="S214" s="210"/>
      <c r="T214" s="210"/>
      <c r="U214" s="210"/>
      <c r="V214" s="210"/>
      <c r="W214" s="210"/>
      <c r="X214" s="210"/>
      <c r="Y214" s="210"/>
      <c r="Z214" s="210"/>
    </row>
    <row r="215" spans="1:26" ht="9.75" customHeight="1" x14ac:dyDescent="0.25">
      <c r="A215" s="210"/>
      <c r="B215" s="210"/>
      <c r="C215" s="210"/>
      <c r="D215" s="210"/>
      <c r="E215" s="210"/>
      <c r="F215" s="210"/>
      <c r="G215" s="210"/>
      <c r="H215" s="210"/>
      <c r="I215" s="210"/>
      <c r="J215" s="210"/>
      <c r="K215" s="210"/>
      <c r="L215" s="210"/>
      <c r="M215" s="210"/>
      <c r="N215" s="210"/>
      <c r="O215" s="210"/>
      <c r="P215" s="210"/>
      <c r="Q215" s="210"/>
      <c r="R215" s="210"/>
      <c r="S215" s="210"/>
      <c r="T215" s="210"/>
      <c r="U215" s="210"/>
      <c r="V215" s="210"/>
      <c r="W215" s="210"/>
      <c r="X215" s="210"/>
      <c r="Y215" s="210"/>
      <c r="Z215" s="210"/>
    </row>
    <row r="216" spans="1:26" ht="9.75" customHeight="1" x14ac:dyDescent="0.25">
      <c r="A216" s="210"/>
      <c r="B216" s="210"/>
      <c r="C216" s="210"/>
      <c r="D216" s="210"/>
      <c r="E216" s="210"/>
      <c r="F216" s="210"/>
      <c r="G216" s="210"/>
      <c r="H216" s="210"/>
      <c r="I216" s="210"/>
      <c r="J216" s="210"/>
      <c r="K216" s="210"/>
      <c r="L216" s="210"/>
      <c r="M216" s="210"/>
      <c r="N216" s="210"/>
      <c r="O216" s="210"/>
      <c r="P216" s="210"/>
      <c r="Q216" s="210"/>
      <c r="R216" s="210"/>
      <c r="S216" s="210"/>
      <c r="T216" s="210"/>
      <c r="U216" s="210"/>
      <c r="V216" s="210"/>
      <c r="W216" s="210"/>
      <c r="X216" s="210"/>
      <c r="Y216" s="210"/>
      <c r="Z216" s="210"/>
    </row>
    <row r="217" spans="1:26" ht="9.75" customHeight="1" x14ac:dyDescent="0.25">
      <c r="A217" s="210"/>
      <c r="B217" s="210"/>
      <c r="C217" s="210"/>
      <c r="D217" s="210"/>
      <c r="E217" s="210"/>
      <c r="F217" s="210"/>
      <c r="G217" s="210"/>
      <c r="H217" s="210"/>
      <c r="I217" s="210"/>
      <c r="J217" s="210"/>
      <c r="K217" s="210"/>
      <c r="L217" s="210"/>
      <c r="M217" s="210"/>
      <c r="N217" s="210"/>
      <c r="O217" s="210"/>
      <c r="P217" s="210"/>
      <c r="Q217" s="210"/>
      <c r="R217" s="210"/>
      <c r="S217" s="210"/>
      <c r="T217" s="210"/>
      <c r="U217" s="210"/>
      <c r="V217" s="210"/>
      <c r="W217" s="210"/>
      <c r="X217" s="210"/>
      <c r="Y217" s="210"/>
      <c r="Z217" s="210"/>
    </row>
    <row r="218" spans="1:26" ht="9.75" customHeight="1" x14ac:dyDescent="0.25">
      <c r="A218" s="210"/>
      <c r="B218" s="210"/>
      <c r="C218" s="210"/>
      <c r="D218" s="210"/>
      <c r="E218" s="210"/>
      <c r="F218" s="210"/>
      <c r="G218" s="210"/>
      <c r="H218" s="210"/>
      <c r="I218" s="210"/>
      <c r="J218" s="210"/>
      <c r="K218" s="210"/>
      <c r="L218" s="210"/>
      <c r="M218" s="210"/>
      <c r="N218" s="210"/>
      <c r="O218" s="210"/>
      <c r="P218" s="210"/>
      <c r="Q218" s="210"/>
      <c r="R218" s="210"/>
      <c r="S218" s="210"/>
      <c r="T218" s="210"/>
      <c r="U218" s="210"/>
      <c r="V218" s="210"/>
      <c r="W218" s="210"/>
      <c r="X218" s="210"/>
      <c r="Y218" s="210"/>
      <c r="Z218" s="210"/>
    </row>
    <row r="219" spans="1:26" ht="9.75" customHeight="1" x14ac:dyDescent="0.25">
      <c r="A219" s="210"/>
      <c r="B219" s="210"/>
      <c r="C219" s="210"/>
      <c r="D219" s="210"/>
      <c r="E219" s="210"/>
      <c r="F219" s="210"/>
      <c r="G219" s="210"/>
      <c r="H219" s="210"/>
      <c r="I219" s="210"/>
      <c r="J219" s="210"/>
      <c r="K219" s="210"/>
      <c r="L219" s="210"/>
      <c r="M219" s="210"/>
      <c r="N219" s="210"/>
      <c r="O219" s="210"/>
      <c r="P219" s="210"/>
      <c r="Q219" s="210"/>
      <c r="R219" s="210"/>
      <c r="S219" s="210"/>
      <c r="T219" s="210"/>
      <c r="U219" s="210"/>
      <c r="V219" s="210"/>
      <c r="W219" s="210"/>
      <c r="X219" s="210"/>
      <c r="Y219" s="210"/>
      <c r="Z219" s="210"/>
    </row>
    <row r="220" spans="1:26" ht="9.75" customHeight="1" x14ac:dyDescent="0.25">
      <c r="A220" s="210"/>
      <c r="B220" s="210"/>
      <c r="C220" s="210"/>
      <c r="D220" s="210"/>
      <c r="E220" s="210"/>
      <c r="F220" s="210"/>
      <c r="G220" s="210"/>
      <c r="H220" s="210"/>
      <c r="I220" s="210"/>
      <c r="J220" s="210"/>
      <c r="K220" s="210"/>
      <c r="L220" s="210"/>
      <c r="M220" s="210"/>
      <c r="N220" s="210"/>
      <c r="O220" s="210"/>
      <c r="P220" s="210"/>
      <c r="Q220" s="210"/>
      <c r="R220" s="210"/>
      <c r="S220" s="210"/>
      <c r="T220" s="210"/>
      <c r="U220" s="210"/>
      <c r="V220" s="210"/>
      <c r="W220" s="210"/>
      <c r="X220" s="210"/>
      <c r="Y220" s="210"/>
      <c r="Z220" s="210"/>
    </row>
    <row r="221" spans="1:26" ht="9.75" customHeight="1" x14ac:dyDescent="0.25">
      <c r="A221" s="210"/>
      <c r="B221" s="210"/>
      <c r="C221" s="210"/>
      <c r="D221" s="210"/>
      <c r="E221" s="210"/>
      <c r="F221" s="210"/>
      <c r="G221" s="210"/>
      <c r="H221" s="210"/>
      <c r="I221" s="210"/>
      <c r="J221" s="210"/>
      <c r="K221" s="210"/>
      <c r="L221" s="210"/>
      <c r="M221" s="210"/>
      <c r="N221" s="210"/>
      <c r="O221" s="210"/>
      <c r="P221" s="210"/>
      <c r="Q221" s="210"/>
      <c r="R221" s="210"/>
      <c r="S221" s="210"/>
      <c r="T221" s="210"/>
      <c r="U221" s="210"/>
      <c r="V221" s="210"/>
      <c r="W221" s="210"/>
      <c r="X221" s="210"/>
      <c r="Y221" s="210"/>
      <c r="Z221" s="210"/>
    </row>
    <row r="222" spans="1:26" ht="9.75" customHeight="1" x14ac:dyDescent="0.25">
      <c r="A222" s="210"/>
      <c r="B222" s="210"/>
      <c r="C222" s="210"/>
      <c r="D222" s="210"/>
      <c r="E222" s="210"/>
      <c r="F222" s="210"/>
      <c r="G222" s="210"/>
      <c r="H222" s="210"/>
      <c r="I222" s="210"/>
      <c r="J222" s="210"/>
      <c r="K222" s="210"/>
      <c r="L222" s="210"/>
      <c r="M222" s="210"/>
      <c r="N222" s="210"/>
      <c r="O222" s="210"/>
      <c r="P222" s="210"/>
      <c r="Q222" s="210"/>
      <c r="R222" s="210"/>
      <c r="S222" s="210"/>
      <c r="T222" s="210"/>
      <c r="U222" s="210"/>
      <c r="V222" s="210"/>
      <c r="W222" s="210"/>
      <c r="X222" s="210"/>
      <c r="Y222" s="210"/>
      <c r="Z222" s="210"/>
    </row>
    <row r="223" spans="1:26" ht="9.75" customHeight="1" x14ac:dyDescent="0.25">
      <c r="A223" s="210"/>
      <c r="B223" s="210"/>
      <c r="C223" s="210"/>
      <c r="D223" s="210"/>
      <c r="E223" s="210"/>
      <c r="F223" s="210"/>
      <c r="G223" s="210"/>
      <c r="H223" s="210"/>
      <c r="I223" s="210"/>
      <c r="J223" s="210"/>
      <c r="K223" s="210"/>
      <c r="L223" s="210"/>
      <c r="M223" s="210"/>
      <c r="N223" s="210"/>
      <c r="O223" s="210"/>
      <c r="P223" s="210"/>
      <c r="Q223" s="210"/>
      <c r="R223" s="210"/>
      <c r="S223" s="210"/>
      <c r="T223" s="210"/>
      <c r="U223" s="210"/>
      <c r="V223" s="210"/>
      <c r="W223" s="210"/>
      <c r="X223" s="210"/>
      <c r="Y223" s="210"/>
      <c r="Z223" s="210"/>
    </row>
    <row r="224" spans="1:26" ht="9.75" customHeight="1" x14ac:dyDescent="0.25">
      <c r="A224" s="210"/>
      <c r="B224" s="210"/>
      <c r="C224" s="210"/>
      <c r="D224" s="210"/>
      <c r="E224" s="210"/>
      <c r="F224" s="210"/>
      <c r="G224" s="210"/>
      <c r="H224" s="210"/>
      <c r="I224" s="210"/>
      <c r="J224" s="210"/>
      <c r="K224" s="210"/>
      <c r="L224" s="210"/>
      <c r="M224" s="210"/>
      <c r="N224" s="210"/>
      <c r="O224" s="210"/>
      <c r="P224" s="210"/>
      <c r="Q224" s="210"/>
      <c r="R224" s="210"/>
      <c r="S224" s="210"/>
      <c r="T224" s="210"/>
      <c r="U224" s="210"/>
      <c r="V224" s="210"/>
      <c r="W224" s="210"/>
      <c r="X224" s="210"/>
      <c r="Y224" s="210"/>
      <c r="Z224" s="210"/>
    </row>
    <row r="225" spans="1:26" ht="9.75" customHeight="1" x14ac:dyDescent="0.25">
      <c r="A225" s="210"/>
      <c r="B225" s="210"/>
      <c r="C225" s="210"/>
      <c r="D225" s="210"/>
      <c r="E225" s="210"/>
      <c r="F225" s="210"/>
      <c r="G225" s="210"/>
      <c r="H225" s="210"/>
      <c r="I225" s="210"/>
      <c r="J225" s="210"/>
      <c r="K225" s="210"/>
      <c r="L225" s="210"/>
      <c r="M225" s="210"/>
      <c r="N225" s="210"/>
      <c r="O225" s="210"/>
      <c r="P225" s="210"/>
      <c r="Q225" s="210"/>
      <c r="R225" s="210"/>
      <c r="S225" s="210"/>
      <c r="T225" s="210"/>
      <c r="U225" s="210"/>
      <c r="V225" s="210"/>
      <c r="W225" s="210"/>
      <c r="X225" s="210"/>
      <c r="Y225" s="210"/>
      <c r="Z225" s="210"/>
    </row>
    <row r="226" spans="1:26" ht="9.75" customHeight="1" x14ac:dyDescent="0.25">
      <c r="A226" s="210"/>
      <c r="B226" s="210"/>
      <c r="C226" s="210"/>
      <c r="D226" s="210"/>
      <c r="E226" s="210"/>
      <c r="F226" s="210"/>
      <c r="G226" s="210"/>
      <c r="H226" s="210"/>
      <c r="I226" s="210"/>
      <c r="J226" s="210"/>
      <c r="K226" s="210"/>
      <c r="L226" s="210"/>
      <c r="M226" s="210"/>
      <c r="N226" s="210"/>
      <c r="O226" s="210"/>
      <c r="P226" s="210"/>
      <c r="Q226" s="210"/>
      <c r="R226" s="210"/>
      <c r="S226" s="210"/>
      <c r="T226" s="210"/>
      <c r="U226" s="210"/>
      <c r="V226" s="210"/>
      <c r="W226" s="210"/>
      <c r="X226" s="210"/>
      <c r="Y226" s="210"/>
      <c r="Z226" s="210"/>
    </row>
    <row r="227" spans="1:26" ht="9.75" customHeight="1" x14ac:dyDescent="0.25">
      <c r="A227" s="210"/>
      <c r="B227" s="210"/>
      <c r="C227" s="210"/>
      <c r="D227" s="210"/>
      <c r="E227" s="210"/>
      <c r="F227" s="210"/>
      <c r="G227" s="210"/>
      <c r="H227" s="210"/>
      <c r="I227" s="210"/>
      <c r="J227" s="210"/>
      <c r="K227" s="210"/>
      <c r="L227" s="210"/>
      <c r="M227" s="210"/>
      <c r="N227" s="210"/>
      <c r="O227" s="210"/>
      <c r="P227" s="210"/>
      <c r="Q227" s="210"/>
      <c r="R227" s="210"/>
      <c r="S227" s="210"/>
      <c r="T227" s="210"/>
      <c r="U227" s="210"/>
      <c r="V227" s="210"/>
      <c r="W227" s="210"/>
      <c r="X227" s="210"/>
      <c r="Y227" s="210"/>
      <c r="Z227" s="210"/>
    </row>
    <row r="228" spans="1:26" ht="9.75" customHeight="1" x14ac:dyDescent="0.25">
      <c r="A228" s="210"/>
      <c r="B228" s="210"/>
      <c r="C228" s="210"/>
      <c r="D228" s="210"/>
      <c r="E228" s="210"/>
      <c r="F228" s="210"/>
      <c r="G228" s="210"/>
      <c r="H228" s="210"/>
      <c r="I228" s="210"/>
      <c r="J228" s="210"/>
      <c r="K228" s="210"/>
      <c r="L228" s="210"/>
      <c r="M228" s="210"/>
      <c r="N228" s="210"/>
      <c r="O228" s="210"/>
      <c r="P228" s="210"/>
      <c r="Q228" s="210"/>
      <c r="R228" s="210"/>
      <c r="S228" s="210"/>
      <c r="T228" s="210"/>
      <c r="U228" s="210"/>
      <c r="V228" s="210"/>
      <c r="W228" s="210"/>
      <c r="X228" s="210"/>
      <c r="Y228" s="210"/>
      <c r="Z228" s="210"/>
    </row>
    <row r="229" spans="1:26" ht="9.75" customHeight="1" x14ac:dyDescent="0.25">
      <c r="A229" s="210"/>
      <c r="B229" s="210"/>
      <c r="C229" s="210"/>
      <c r="D229" s="210"/>
      <c r="E229" s="210"/>
      <c r="F229" s="210"/>
      <c r="G229" s="210"/>
      <c r="H229" s="210"/>
      <c r="I229" s="210"/>
      <c r="J229" s="210"/>
      <c r="K229" s="210"/>
      <c r="L229" s="210"/>
      <c r="M229" s="210"/>
      <c r="N229" s="210"/>
      <c r="O229" s="210"/>
      <c r="P229" s="210"/>
      <c r="Q229" s="210"/>
      <c r="R229" s="210"/>
      <c r="S229" s="210"/>
      <c r="T229" s="210"/>
      <c r="U229" s="210"/>
      <c r="V229" s="210"/>
      <c r="W229" s="210"/>
      <c r="X229" s="210"/>
      <c r="Y229" s="210"/>
      <c r="Z229" s="210"/>
    </row>
    <row r="230" spans="1:26" ht="9.75" customHeight="1" x14ac:dyDescent="0.25">
      <c r="A230" s="210"/>
      <c r="B230" s="210"/>
      <c r="C230" s="210"/>
      <c r="D230" s="210"/>
      <c r="E230" s="210"/>
      <c r="F230" s="210"/>
      <c r="G230" s="210"/>
      <c r="H230" s="210"/>
      <c r="I230" s="210"/>
      <c r="J230" s="210"/>
      <c r="K230" s="210"/>
      <c r="L230" s="210"/>
      <c r="M230" s="210"/>
      <c r="N230" s="210"/>
      <c r="O230" s="210"/>
      <c r="P230" s="210"/>
      <c r="Q230" s="210"/>
      <c r="R230" s="210"/>
      <c r="S230" s="210"/>
      <c r="T230" s="210"/>
      <c r="U230" s="210"/>
      <c r="V230" s="210"/>
      <c r="W230" s="210"/>
      <c r="X230" s="210"/>
      <c r="Y230" s="210"/>
      <c r="Z230" s="210"/>
    </row>
    <row r="231" spans="1:26" ht="9.75" customHeight="1" x14ac:dyDescent="0.25">
      <c r="A231" s="210"/>
      <c r="B231" s="210"/>
      <c r="C231" s="210"/>
      <c r="D231" s="210"/>
      <c r="E231" s="210"/>
      <c r="F231" s="210"/>
      <c r="G231" s="210"/>
      <c r="H231" s="210"/>
      <c r="I231" s="210"/>
      <c r="J231" s="210"/>
      <c r="K231" s="210"/>
      <c r="L231" s="210"/>
      <c r="M231" s="210"/>
      <c r="N231" s="210"/>
      <c r="O231" s="210"/>
      <c r="P231" s="210"/>
      <c r="Q231" s="210"/>
      <c r="R231" s="210"/>
      <c r="S231" s="210"/>
      <c r="T231" s="210"/>
      <c r="U231" s="210"/>
      <c r="V231" s="210"/>
      <c r="W231" s="210"/>
      <c r="X231" s="210"/>
      <c r="Y231" s="210"/>
      <c r="Z231" s="210"/>
    </row>
    <row r="232" spans="1:26" ht="9.75" customHeight="1" x14ac:dyDescent="0.25">
      <c r="A232" s="210"/>
      <c r="B232" s="210"/>
      <c r="C232" s="210"/>
      <c r="D232" s="210"/>
      <c r="E232" s="210"/>
      <c r="F232" s="210"/>
      <c r="G232" s="210"/>
      <c r="H232" s="210"/>
      <c r="I232" s="210"/>
      <c r="J232" s="210"/>
      <c r="K232" s="210"/>
      <c r="L232" s="210"/>
      <c r="M232" s="210"/>
      <c r="N232" s="210"/>
      <c r="O232" s="210"/>
      <c r="P232" s="210"/>
      <c r="Q232" s="210"/>
      <c r="R232" s="210"/>
      <c r="S232" s="210"/>
      <c r="T232" s="210"/>
      <c r="U232" s="210"/>
      <c r="V232" s="210"/>
      <c r="W232" s="210"/>
      <c r="X232" s="210"/>
      <c r="Y232" s="210"/>
      <c r="Z232" s="210"/>
    </row>
    <row r="233" spans="1:26" ht="9.75" customHeight="1" x14ac:dyDescent="0.25">
      <c r="A233" s="210"/>
      <c r="B233" s="210"/>
      <c r="C233" s="210"/>
      <c r="D233" s="210"/>
      <c r="E233" s="210"/>
      <c r="F233" s="210"/>
      <c r="G233" s="210"/>
      <c r="H233" s="210"/>
      <c r="I233" s="210"/>
      <c r="J233" s="210"/>
      <c r="K233" s="210"/>
      <c r="L233" s="210"/>
      <c r="M233" s="210"/>
      <c r="N233" s="210"/>
      <c r="O233" s="210"/>
      <c r="P233" s="210"/>
      <c r="Q233" s="210"/>
      <c r="R233" s="210"/>
      <c r="S233" s="210"/>
      <c r="T233" s="210"/>
      <c r="U233" s="210"/>
      <c r="V233" s="210"/>
      <c r="W233" s="210"/>
      <c r="X233" s="210"/>
      <c r="Y233" s="210"/>
      <c r="Z233" s="210"/>
    </row>
    <row r="234" spans="1:26" ht="9.75" customHeight="1" x14ac:dyDescent="0.25">
      <c r="A234" s="210"/>
      <c r="B234" s="210"/>
      <c r="C234" s="210"/>
      <c r="D234" s="210"/>
      <c r="E234" s="210"/>
      <c r="F234" s="210"/>
      <c r="G234" s="210"/>
      <c r="H234" s="210"/>
      <c r="I234" s="210"/>
      <c r="J234" s="210"/>
      <c r="K234" s="210"/>
      <c r="L234" s="210"/>
      <c r="M234" s="210"/>
      <c r="N234" s="210"/>
      <c r="O234" s="210"/>
      <c r="P234" s="210"/>
      <c r="Q234" s="210"/>
      <c r="R234" s="210"/>
      <c r="S234" s="210"/>
      <c r="T234" s="210"/>
      <c r="U234" s="210"/>
      <c r="V234" s="210"/>
      <c r="W234" s="210"/>
      <c r="X234" s="210"/>
      <c r="Y234" s="210"/>
      <c r="Z234" s="210"/>
    </row>
    <row r="235" spans="1:26" ht="9.75" customHeight="1" x14ac:dyDescent="0.25">
      <c r="A235" s="210"/>
      <c r="B235" s="210"/>
      <c r="C235" s="210"/>
      <c r="D235" s="210"/>
      <c r="E235" s="210"/>
      <c r="F235" s="210"/>
      <c r="G235" s="210"/>
      <c r="H235" s="210"/>
      <c r="I235" s="210"/>
      <c r="J235" s="210"/>
      <c r="K235" s="210"/>
      <c r="L235" s="210"/>
      <c r="M235" s="210"/>
      <c r="N235" s="210"/>
      <c r="O235" s="210"/>
      <c r="P235" s="210"/>
      <c r="Q235" s="210"/>
      <c r="R235" s="210"/>
      <c r="S235" s="210"/>
      <c r="T235" s="210"/>
      <c r="U235" s="210"/>
      <c r="V235" s="210"/>
      <c r="W235" s="210"/>
      <c r="X235" s="210"/>
      <c r="Y235" s="210"/>
      <c r="Z235" s="210"/>
    </row>
    <row r="236" spans="1:26" ht="9.75" customHeight="1" x14ac:dyDescent="0.25">
      <c r="A236" s="210"/>
      <c r="B236" s="210"/>
      <c r="C236" s="210"/>
      <c r="D236" s="210"/>
      <c r="E236" s="210"/>
      <c r="F236" s="210"/>
      <c r="G236" s="210"/>
      <c r="H236" s="210"/>
      <c r="I236" s="210"/>
      <c r="J236" s="210"/>
      <c r="K236" s="210"/>
      <c r="L236" s="210"/>
      <c r="M236" s="210"/>
      <c r="N236" s="210"/>
      <c r="O236" s="210"/>
      <c r="P236" s="210"/>
      <c r="Q236" s="210"/>
      <c r="R236" s="210"/>
      <c r="S236" s="210"/>
      <c r="T236" s="210"/>
      <c r="U236" s="210"/>
      <c r="V236" s="210"/>
      <c r="W236" s="210"/>
      <c r="X236" s="210"/>
      <c r="Y236" s="210"/>
      <c r="Z236" s="210"/>
    </row>
    <row r="237" spans="1:26" ht="9.75" customHeight="1" x14ac:dyDescent="0.25">
      <c r="A237" s="210"/>
      <c r="B237" s="210"/>
      <c r="C237" s="210"/>
      <c r="D237" s="210"/>
      <c r="E237" s="210"/>
      <c r="F237" s="210"/>
      <c r="G237" s="210"/>
      <c r="H237" s="210"/>
      <c r="I237" s="210"/>
      <c r="J237" s="210"/>
      <c r="K237" s="210"/>
      <c r="L237" s="210"/>
      <c r="M237" s="210"/>
      <c r="N237" s="210"/>
      <c r="O237" s="210"/>
      <c r="P237" s="210"/>
      <c r="Q237" s="210"/>
      <c r="R237" s="210"/>
      <c r="S237" s="210"/>
      <c r="T237" s="210"/>
      <c r="U237" s="210"/>
      <c r="V237" s="210"/>
      <c r="W237" s="210"/>
      <c r="X237" s="210"/>
      <c r="Y237" s="210"/>
      <c r="Z237" s="210"/>
    </row>
    <row r="238" spans="1:26" ht="9.75" customHeight="1" x14ac:dyDescent="0.25">
      <c r="A238" s="210"/>
      <c r="B238" s="210"/>
      <c r="C238" s="210"/>
      <c r="D238" s="210"/>
      <c r="E238" s="210"/>
      <c r="F238" s="210"/>
      <c r="G238" s="210"/>
      <c r="H238" s="210"/>
      <c r="I238" s="210"/>
      <c r="J238" s="210"/>
      <c r="K238" s="210"/>
      <c r="L238" s="210"/>
      <c r="M238" s="210"/>
      <c r="N238" s="210"/>
      <c r="O238" s="210"/>
      <c r="P238" s="210"/>
      <c r="Q238" s="210"/>
      <c r="R238" s="210"/>
      <c r="S238" s="210"/>
      <c r="T238" s="210"/>
      <c r="U238" s="210"/>
      <c r="V238" s="210"/>
      <c r="W238" s="210"/>
      <c r="X238" s="210"/>
      <c r="Y238" s="210"/>
      <c r="Z238" s="210"/>
    </row>
    <row r="239" spans="1:26" ht="9.75" customHeight="1" x14ac:dyDescent="0.25">
      <c r="A239" s="210"/>
      <c r="B239" s="210"/>
      <c r="C239" s="210"/>
      <c r="D239" s="210"/>
      <c r="E239" s="210"/>
      <c r="F239" s="210"/>
      <c r="G239" s="210"/>
      <c r="H239" s="210"/>
      <c r="I239" s="210"/>
      <c r="J239" s="210"/>
      <c r="K239" s="210"/>
      <c r="L239" s="210"/>
      <c r="M239" s="210"/>
      <c r="N239" s="210"/>
      <c r="O239" s="210"/>
      <c r="P239" s="210"/>
      <c r="Q239" s="210"/>
      <c r="R239" s="210"/>
      <c r="S239" s="210"/>
      <c r="T239" s="210"/>
      <c r="U239" s="210"/>
      <c r="V239" s="210"/>
      <c r="W239" s="210"/>
      <c r="X239" s="210"/>
      <c r="Y239" s="210"/>
      <c r="Z239" s="210"/>
    </row>
    <row r="240" spans="1:26" ht="9.75" customHeight="1" x14ac:dyDescent="0.25">
      <c r="A240" s="210"/>
      <c r="B240" s="210"/>
      <c r="C240" s="210"/>
      <c r="D240" s="210"/>
      <c r="E240" s="210"/>
      <c r="F240" s="210"/>
      <c r="G240" s="210"/>
      <c r="H240" s="210"/>
      <c r="I240" s="210"/>
      <c r="J240" s="210"/>
      <c r="K240" s="210"/>
      <c r="L240" s="210"/>
      <c r="M240" s="210"/>
      <c r="N240" s="210"/>
      <c r="O240" s="210"/>
      <c r="P240" s="210"/>
      <c r="Q240" s="210"/>
      <c r="R240" s="210"/>
      <c r="S240" s="210"/>
      <c r="T240" s="210"/>
      <c r="U240" s="210"/>
      <c r="V240" s="210"/>
      <c r="W240" s="210"/>
      <c r="X240" s="210"/>
      <c r="Y240" s="210"/>
      <c r="Z240" s="210"/>
    </row>
    <row r="241" spans="1:26" ht="9.75" customHeight="1" x14ac:dyDescent="0.25">
      <c r="A241" s="210"/>
      <c r="B241" s="210"/>
      <c r="C241" s="210"/>
      <c r="D241" s="210"/>
      <c r="E241" s="210"/>
      <c r="F241" s="210"/>
      <c r="G241" s="210"/>
      <c r="H241" s="210"/>
      <c r="I241" s="210"/>
      <c r="J241" s="210"/>
      <c r="K241" s="210"/>
      <c r="L241" s="210"/>
      <c r="M241" s="210"/>
      <c r="N241" s="210"/>
      <c r="O241" s="210"/>
      <c r="P241" s="210"/>
      <c r="Q241" s="210"/>
      <c r="R241" s="210"/>
      <c r="S241" s="210"/>
      <c r="T241" s="210"/>
      <c r="U241" s="210"/>
      <c r="V241" s="210"/>
      <c r="W241" s="210"/>
      <c r="X241" s="210"/>
      <c r="Y241" s="210"/>
      <c r="Z241" s="210"/>
    </row>
    <row r="242" spans="1:26" ht="9.75" customHeight="1" x14ac:dyDescent="0.25">
      <c r="A242" s="210"/>
      <c r="B242" s="210"/>
      <c r="C242" s="210"/>
      <c r="D242" s="210"/>
      <c r="E242" s="210"/>
      <c r="F242" s="210"/>
      <c r="G242" s="210"/>
      <c r="H242" s="210"/>
      <c r="I242" s="210"/>
      <c r="J242" s="210"/>
      <c r="K242" s="210"/>
      <c r="L242" s="210"/>
      <c r="M242" s="210"/>
      <c r="N242" s="210"/>
      <c r="O242" s="210"/>
      <c r="P242" s="210"/>
      <c r="Q242" s="210"/>
      <c r="R242" s="210"/>
      <c r="S242" s="210"/>
      <c r="T242" s="210"/>
      <c r="U242" s="210"/>
      <c r="V242" s="210"/>
      <c r="W242" s="210"/>
      <c r="X242" s="210"/>
      <c r="Y242" s="210"/>
      <c r="Z242" s="210"/>
    </row>
    <row r="243" spans="1:26" ht="9.75" customHeight="1" x14ac:dyDescent="0.25">
      <c r="A243" s="210"/>
      <c r="B243" s="210"/>
      <c r="C243" s="210"/>
      <c r="D243" s="210"/>
      <c r="E243" s="210"/>
      <c r="F243" s="210"/>
      <c r="G243" s="210"/>
      <c r="H243" s="210"/>
      <c r="I243" s="210"/>
      <c r="J243" s="210"/>
      <c r="K243" s="210"/>
      <c r="L243" s="210"/>
      <c r="M243" s="210"/>
      <c r="N243" s="210"/>
      <c r="O243" s="210"/>
      <c r="P243" s="210"/>
      <c r="Q243" s="210"/>
      <c r="R243" s="210"/>
      <c r="S243" s="210"/>
      <c r="T243" s="210"/>
      <c r="U243" s="210"/>
      <c r="V243" s="210"/>
      <c r="W243" s="210"/>
      <c r="X243" s="210"/>
      <c r="Y243" s="210"/>
      <c r="Z243" s="210"/>
    </row>
    <row r="244" spans="1:26" ht="9.75" customHeight="1" x14ac:dyDescent="0.25">
      <c r="A244" s="210"/>
      <c r="B244" s="210"/>
      <c r="C244" s="210"/>
      <c r="D244" s="210"/>
      <c r="E244" s="210"/>
      <c r="F244" s="210"/>
      <c r="G244" s="210"/>
      <c r="H244" s="210"/>
      <c r="I244" s="210"/>
      <c r="J244" s="210"/>
      <c r="K244" s="210"/>
      <c r="L244" s="210"/>
      <c r="M244" s="210"/>
      <c r="N244" s="210"/>
      <c r="O244" s="210"/>
      <c r="P244" s="210"/>
      <c r="Q244" s="210"/>
      <c r="R244" s="210"/>
      <c r="S244" s="210"/>
      <c r="T244" s="210"/>
      <c r="U244" s="210"/>
      <c r="V244" s="210"/>
      <c r="W244" s="210"/>
      <c r="X244" s="210"/>
      <c r="Y244" s="210"/>
      <c r="Z244" s="210"/>
    </row>
    <row r="245" spans="1:26" ht="9.75" customHeight="1" x14ac:dyDescent="0.25">
      <c r="A245" s="210"/>
      <c r="B245" s="210"/>
      <c r="C245" s="210"/>
      <c r="D245" s="210"/>
      <c r="E245" s="210"/>
      <c r="F245" s="210"/>
      <c r="G245" s="210"/>
      <c r="H245" s="210"/>
      <c r="I245" s="210"/>
      <c r="J245" s="210"/>
      <c r="K245" s="210"/>
      <c r="L245" s="210"/>
      <c r="M245" s="210"/>
      <c r="N245" s="210"/>
      <c r="O245" s="210"/>
      <c r="P245" s="210"/>
      <c r="Q245" s="210"/>
      <c r="R245" s="210"/>
      <c r="S245" s="210"/>
      <c r="T245" s="210"/>
      <c r="U245" s="210"/>
      <c r="V245" s="210"/>
      <c r="W245" s="210"/>
      <c r="X245" s="210"/>
      <c r="Y245" s="210"/>
      <c r="Z245" s="210"/>
    </row>
    <row r="246" spans="1:26" ht="9.75" customHeight="1" x14ac:dyDescent="0.25">
      <c r="A246" s="210"/>
      <c r="B246" s="210"/>
      <c r="C246" s="210"/>
      <c r="D246" s="210"/>
      <c r="E246" s="210"/>
      <c r="F246" s="210"/>
      <c r="G246" s="210"/>
      <c r="H246" s="210"/>
      <c r="I246" s="210"/>
      <c r="J246" s="210"/>
      <c r="K246" s="210"/>
      <c r="L246" s="210"/>
      <c r="M246" s="210"/>
      <c r="N246" s="210"/>
      <c r="O246" s="210"/>
      <c r="P246" s="210"/>
      <c r="Q246" s="210"/>
      <c r="R246" s="210"/>
      <c r="S246" s="210"/>
      <c r="T246" s="210"/>
      <c r="U246" s="210"/>
      <c r="V246" s="210"/>
      <c r="W246" s="210"/>
      <c r="X246" s="210"/>
      <c r="Y246" s="210"/>
      <c r="Z246" s="210"/>
    </row>
    <row r="247" spans="1:26" ht="9.75" customHeight="1" x14ac:dyDescent="0.25">
      <c r="A247" s="210"/>
      <c r="B247" s="210"/>
      <c r="C247" s="210"/>
      <c r="D247" s="210"/>
      <c r="E247" s="210"/>
      <c r="F247" s="210"/>
      <c r="G247" s="210"/>
      <c r="H247" s="210"/>
      <c r="I247" s="210"/>
      <c r="J247" s="210"/>
      <c r="K247" s="210"/>
      <c r="L247" s="210"/>
      <c r="M247" s="210"/>
      <c r="N247" s="210"/>
      <c r="O247" s="210"/>
      <c r="P247" s="210"/>
      <c r="Q247" s="210"/>
      <c r="R247" s="210"/>
      <c r="S247" s="210"/>
      <c r="T247" s="210"/>
      <c r="U247" s="210"/>
      <c r="V247" s="210"/>
      <c r="W247" s="210"/>
      <c r="X247" s="210"/>
      <c r="Y247" s="210"/>
      <c r="Z247" s="210"/>
    </row>
    <row r="248" spans="1:26" ht="9.75" customHeight="1" x14ac:dyDescent="0.25">
      <c r="A248" s="210"/>
      <c r="B248" s="210"/>
      <c r="C248" s="210"/>
      <c r="D248" s="210"/>
      <c r="E248" s="210"/>
      <c r="F248" s="210"/>
      <c r="G248" s="210"/>
      <c r="H248" s="210"/>
      <c r="I248" s="210"/>
      <c r="J248" s="210"/>
      <c r="K248" s="210"/>
      <c r="L248" s="210"/>
      <c r="M248" s="210"/>
      <c r="N248" s="210"/>
      <c r="O248" s="210"/>
      <c r="P248" s="210"/>
      <c r="Q248" s="210"/>
      <c r="R248" s="210"/>
      <c r="S248" s="210"/>
      <c r="T248" s="210"/>
      <c r="U248" s="210"/>
      <c r="V248" s="210"/>
      <c r="W248" s="210"/>
      <c r="X248" s="210"/>
      <c r="Y248" s="210"/>
      <c r="Z248" s="210"/>
    </row>
    <row r="249" spans="1:26" ht="9.75" customHeight="1" x14ac:dyDescent="0.25">
      <c r="A249" s="210"/>
      <c r="B249" s="210"/>
      <c r="C249" s="210"/>
      <c r="D249" s="210"/>
      <c r="E249" s="210"/>
      <c r="F249" s="210"/>
      <c r="G249" s="210"/>
      <c r="H249" s="210"/>
      <c r="I249" s="210"/>
      <c r="J249" s="210"/>
      <c r="K249" s="210"/>
      <c r="L249" s="210"/>
      <c r="M249" s="210"/>
      <c r="N249" s="210"/>
      <c r="O249" s="210"/>
      <c r="P249" s="210"/>
      <c r="Q249" s="210"/>
      <c r="R249" s="210"/>
      <c r="S249" s="210"/>
      <c r="T249" s="210"/>
      <c r="U249" s="210"/>
      <c r="V249" s="210"/>
      <c r="W249" s="210"/>
      <c r="X249" s="210"/>
      <c r="Y249" s="210"/>
      <c r="Z249" s="210"/>
    </row>
    <row r="250" spans="1:26" ht="9.75" customHeight="1" x14ac:dyDescent="0.25">
      <c r="A250" s="210"/>
      <c r="B250" s="210"/>
      <c r="C250" s="210"/>
      <c r="D250" s="210"/>
      <c r="E250" s="210"/>
      <c r="F250" s="210"/>
      <c r="G250" s="210"/>
      <c r="H250" s="210"/>
      <c r="I250" s="210"/>
      <c r="J250" s="210"/>
      <c r="K250" s="210"/>
      <c r="L250" s="210"/>
      <c r="M250" s="210"/>
      <c r="N250" s="210"/>
      <c r="O250" s="210"/>
      <c r="P250" s="210"/>
      <c r="Q250" s="210"/>
      <c r="R250" s="210"/>
      <c r="S250" s="210"/>
      <c r="T250" s="210"/>
      <c r="U250" s="210"/>
      <c r="V250" s="210"/>
      <c r="W250" s="210"/>
      <c r="X250" s="210"/>
      <c r="Y250" s="210"/>
      <c r="Z250" s="210"/>
    </row>
    <row r="251" spans="1:26" ht="9.75" customHeight="1" x14ac:dyDescent="0.25">
      <c r="A251" s="210"/>
      <c r="B251" s="210"/>
      <c r="C251" s="210"/>
      <c r="D251" s="210"/>
      <c r="E251" s="210"/>
      <c r="F251" s="210"/>
      <c r="G251" s="210"/>
      <c r="H251" s="210"/>
      <c r="I251" s="210"/>
      <c r="J251" s="210"/>
      <c r="K251" s="210"/>
      <c r="L251" s="210"/>
      <c r="M251" s="210"/>
      <c r="N251" s="210"/>
      <c r="O251" s="210"/>
      <c r="P251" s="210"/>
      <c r="Q251" s="210"/>
      <c r="R251" s="210"/>
      <c r="S251" s="210"/>
      <c r="T251" s="210"/>
      <c r="U251" s="210"/>
      <c r="V251" s="210"/>
      <c r="W251" s="210"/>
      <c r="X251" s="210"/>
      <c r="Y251" s="210"/>
      <c r="Z251" s="210"/>
    </row>
    <row r="252" spans="1:26" ht="9.75" customHeight="1" x14ac:dyDescent="0.25">
      <c r="A252" s="210"/>
      <c r="B252" s="210"/>
      <c r="C252" s="210"/>
      <c r="D252" s="210"/>
      <c r="E252" s="210"/>
      <c r="F252" s="210"/>
      <c r="G252" s="210"/>
      <c r="H252" s="210"/>
      <c r="I252" s="210"/>
      <c r="J252" s="210"/>
      <c r="K252" s="210"/>
      <c r="L252" s="210"/>
      <c r="M252" s="210"/>
      <c r="N252" s="210"/>
      <c r="O252" s="210"/>
      <c r="P252" s="210"/>
      <c r="Q252" s="210"/>
      <c r="R252" s="210"/>
      <c r="S252" s="210"/>
      <c r="T252" s="210"/>
      <c r="U252" s="210"/>
      <c r="V252" s="210"/>
      <c r="W252" s="210"/>
      <c r="X252" s="210"/>
      <c r="Y252" s="210"/>
      <c r="Z252" s="210"/>
    </row>
    <row r="253" spans="1:26" ht="9.75" customHeight="1" x14ac:dyDescent="0.25">
      <c r="A253" s="210"/>
      <c r="B253" s="210"/>
      <c r="C253" s="210"/>
      <c r="D253" s="210"/>
      <c r="E253" s="210"/>
      <c r="F253" s="210"/>
      <c r="G253" s="210"/>
      <c r="H253" s="210"/>
      <c r="I253" s="210"/>
      <c r="J253" s="210"/>
      <c r="K253" s="210"/>
      <c r="L253" s="210"/>
      <c r="M253" s="210"/>
      <c r="N253" s="210"/>
      <c r="O253" s="210"/>
      <c r="P253" s="210"/>
      <c r="Q253" s="210"/>
      <c r="R253" s="210"/>
      <c r="S253" s="210"/>
      <c r="T253" s="210"/>
      <c r="U253" s="210"/>
      <c r="V253" s="210"/>
      <c r="W253" s="210"/>
      <c r="X253" s="210"/>
      <c r="Y253" s="210"/>
      <c r="Z253" s="210"/>
    </row>
    <row r="254" spans="1:26" ht="9.75" customHeight="1" x14ac:dyDescent="0.25">
      <c r="A254" s="210"/>
      <c r="B254" s="210"/>
      <c r="C254" s="210"/>
      <c r="D254" s="210"/>
      <c r="E254" s="210"/>
      <c r="F254" s="210"/>
      <c r="G254" s="210"/>
      <c r="H254" s="210"/>
      <c r="I254" s="210"/>
      <c r="J254" s="210"/>
      <c r="K254" s="210"/>
      <c r="L254" s="210"/>
      <c r="M254" s="210"/>
      <c r="N254" s="210"/>
      <c r="O254" s="210"/>
      <c r="P254" s="210"/>
      <c r="Q254" s="210"/>
      <c r="R254" s="210"/>
      <c r="S254" s="210"/>
      <c r="T254" s="210"/>
      <c r="U254" s="210"/>
      <c r="V254" s="210"/>
      <c r="W254" s="210"/>
      <c r="X254" s="210"/>
      <c r="Y254" s="210"/>
      <c r="Z254" s="210"/>
    </row>
    <row r="255" spans="1:26" ht="9.75" customHeight="1" x14ac:dyDescent="0.25">
      <c r="A255" s="210"/>
      <c r="B255" s="210"/>
      <c r="C255" s="210"/>
      <c r="D255" s="210"/>
      <c r="E255" s="210"/>
      <c r="F255" s="210"/>
      <c r="G255" s="210"/>
      <c r="H255" s="210"/>
      <c r="I255" s="210"/>
      <c r="J255" s="210"/>
      <c r="K255" s="210"/>
      <c r="L255" s="210"/>
      <c r="M255" s="210"/>
      <c r="N255" s="210"/>
      <c r="O255" s="210"/>
      <c r="P255" s="210"/>
      <c r="Q255" s="210"/>
      <c r="R255" s="210"/>
      <c r="S255" s="210"/>
      <c r="T255" s="210"/>
      <c r="U255" s="210"/>
      <c r="V255" s="210"/>
      <c r="W255" s="210"/>
      <c r="X255" s="210"/>
      <c r="Y255" s="210"/>
      <c r="Z255" s="210"/>
    </row>
    <row r="256" spans="1:26" ht="9.75" customHeight="1" x14ac:dyDescent="0.25">
      <c r="A256" s="210"/>
      <c r="B256" s="210"/>
      <c r="C256" s="210"/>
      <c r="D256" s="210"/>
      <c r="E256" s="210"/>
      <c r="F256" s="210"/>
      <c r="G256" s="210"/>
      <c r="H256" s="210"/>
      <c r="I256" s="210"/>
      <c r="J256" s="210"/>
      <c r="K256" s="210"/>
      <c r="L256" s="210"/>
      <c r="M256" s="210"/>
      <c r="N256" s="210"/>
      <c r="O256" s="210"/>
      <c r="P256" s="210"/>
      <c r="Q256" s="210"/>
      <c r="R256" s="210"/>
      <c r="S256" s="210"/>
      <c r="T256" s="210"/>
      <c r="U256" s="210"/>
      <c r="V256" s="210"/>
      <c r="W256" s="210"/>
      <c r="X256" s="210"/>
      <c r="Y256" s="210"/>
      <c r="Z256" s="210"/>
    </row>
    <row r="257" spans="1:26" ht="9.75" customHeight="1" x14ac:dyDescent="0.25">
      <c r="A257" s="210"/>
      <c r="B257" s="210"/>
      <c r="C257" s="210"/>
      <c r="D257" s="210"/>
      <c r="E257" s="210"/>
      <c r="F257" s="210"/>
      <c r="G257" s="210"/>
      <c r="H257" s="210"/>
      <c r="I257" s="210"/>
      <c r="J257" s="210"/>
      <c r="K257" s="210"/>
      <c r="L257" s="210"/>
      <c r="M257" s="210"/>
      <c r="N257" s="210"/>
      <c r="O257" s="210"/>
      <c r="P257" s="210"/>
      <c r="Q257" s="210"/>
      <c r="R257" s="210"/>
      <c r="S257" s="210"/>
      <c r="T257" s="210"/>
      <c r="U257" s="210"/>
      <c r="V257" s="210"/>
      <c r="W257" s="210"/>
      <c r="X257" s="210"/>
      <c r="Y257" s="210"/>
      <c r="Z257" s="210"/>
    </row>
    <row r="258" spans="1:26" ht="9.75" customHeight="1" x14ac:dyDescent="0.25">
      <c r="A258" s="210"/>
      <c r="B258" s="210"/>
      <c r="C258" s="210"/>
      <c r="D258" s="210"/>
      <c r="E258" s="210"/>
      <c r="F258" s="210"/>
      <c r="G258" s="210"/>
      <c r="H258" s="210"/>
      <c r="I258" s="210"/>
      <c r="J258" s="210"/>
      <c r="K258" s="210"/>
      <c r="L258" s="210"/>
      <c r="M258" s="210"/>
      <c r="N258" s="210"/>
      <c r="O258" s="210"/>
      <c r="P258" s="210"/>
      <c r="Q258" s="210"/>
      <c r="R258" s="210"/>
      <c r="S258" s="210"/>
      <c r="T258" s="210"/>
      <c r="U258" s="210"/>
      <c r="V258" s="210"/>
      <c r="W258" s="210"/>
      <c r="X258" s="210"/>
      <c r="Y258" s="210"/>
      <c r="Z258" s="210"/>
    </row>
    <row r="259" spans="1:26" ht="9.75" customHeight="1" x14ac:dyDescent="0.25">
      <c r="A259" s="210"/>
      <c r="B259" s="210"/>
      <c r="C259" s="210"/>
      <c r="D259" s="210"/>
      <c r="E259" s="210"/>
      <c r="F259" s="210"/>
      <c r="G259" s="210"/>
      <c r="H259" s="210"/>
      <c r="I259" s="210"/>
      <c r="J259" s="210"/>
      <c r="K259" s="210"/>
      <c r="L259" s="210"/>
      <c r="M259" s="210"/>
      <c r="N259" s="210"/>
      <c r="O259" s="210"/>
      <c r="P259" s="210"/>
      <c r="Q259" s="210"/>
      <c r="R259" s="210"/>
      <c r="S259" s="210"/>
      <c r="T259" s="210"/>
      <c r="U259" s="210"/>
      <c r="V259" s="210"/>
      <c r="W259" s="210"/>
      <c r="X259" s="210"/>
      <c r="Y259" s="210"/>
      <c r="Z259" s="210"/>
    </row>
    <row r="260" spans="1:26" ht="9.75" customHeight="1" x14ac:dyDescent="0.25">
      <c r="A260" s="210"/>
      <c r="B260" s="210"/>
      <c r="C260" s="210"/>
      <c r="D260" s="210"/>
      <c r="E260" s="210"/>
      <c r="F260" s="210"/>
      <c r="G260" s="210"/>
      <c r="H260" s="210"/>
      <c r="I260" s="210"/>
      <c r="J260" s="210"/>
      <c r="K260" s="210"/>
      <c r="L260" s="210"/>
      <c r="M260" s="210"/>
      <c r="N260" s="210"/>
      <c r="O260" s="210"/>
      <c r="P260" s="210"/>
      <c r="Q260" s="210"/>
      <c r="R260" s="210"/>
      <c r="S260" s="210"/>
      <c r="T260" s="210"/>
      <c r="U260" s="210"/>
      <c r="V260" s="210"/>
      <c r="W260" s="210"/>
      <c r="X260" s="210"/>
      <c r="Y260" s="210"/>
      <c r="Z260" s="210"/>
    </row>
    <row r="261" spans="1:26" ht="9.75" customHeight="1" x14ac:dyDescent="0.25">
      <c r="A261" s="210"/>
      <c r="B261" s="210"/>
      <c r="C261" s="210"/>
      <c r="D261" s="210"/>
      <c r="E261" s="210"/>
      <c r="F261" s="210"/>
      <c r="G261" s="210"/>
      <c r="H261" s="210"/>
      <c r="I261" s="210"/>
      <c r="J261" s="210"/>
      <c r="K261" s="210"/>
      <c r="L261" s="210"/>
      <c r="M261" s="210"/>
      <c r="N261" s="210"/>
      <c r="O261" s="210"/>
      <c r="P261" s="210"/>
      <c r="Q261" s="210"/>
      <c r="R261" s="210"/>
      <c r="S261" s="210"/>
      <c r="T261" s="210"/>
      <c r="U261" s="210"/>
      <c r="V261" s="210"/>
      <c r="W261" s="210"/>
      <c r="X261" s="210"/>
      <c r="Y261" s="210"/>
      <c r="Z261" s="210"/>
    </row>
    <row r="262" spans="1:26" ht="9.75" customHeight="1" x14ac:dyDescent="0.25">
      <c r="A262" s="210"/>
      <c r="B262" s="210"/>
      <c r="C262" s="210"/>
      <c r="D262" s="210"/>
      <c r="E262" s="210"/>
      <c r="F262" s="210"/>
      <c r="G262" s="210"/>
      <c r="H262" s="210"/>
      <c r="I262" s="210"/>
      <c r="J262" s="210"/>
      <c r="K262" s="210"/>
      <c r="L262" s="210"/>
      <c r="M262" s="210"/>
      <c r="N262" s="210"/>
      <c r="O262" s="210"/>
      <c r="P262" s="210"/>
      <c r="Q262" s="210"/>
      <c r="R262" s="210"/>
      <c r="S262" s="210"/>
      <c r="T262" s="210"/>
      <c r="U262" s="210"/>
      <c r="V262" s="210"/>
      <c r="W262" s="210"/>
      <c r="X262" s="210"/>
      <c r="Y262" s="210"/>
      <c r="Z262" s="210"/>
    </row>
    <row r="263" spans="1:26" ht="13.2" x14ac:dyDescent="0.25"/>
    <row r="264" spans="1:26" ht="13.2" x14ac:dyDescent="0.25"/>
    <row r="265" spans="1:26" ht="13.2" x14ac:dyDescent="0.25"/>
    <row r="266" spans="1:26" ht="13.2" x14ac:dyDescent="0.25"/>
    <row r="267" spans="1:26" ht="13.2" x14ac:dyDescent="0.25"/>
    <row r="268" spans="1:26" ht="13.2" x14ac:dyDescent="0.25"/>
    <row r="269" spans="1:26" ht="13.2" x14ac:dyDescent="0.25"/>
    <row r="270" spans="1:26" ht="13.2" x14ac:dyDescent="0.25"/>
    <row r="271" spans="1:26" ht="13.2" x14ac:dyDescent="0.25"/>
    <row r="272" spans="1:26" ht="13.2" x14ac:dyDescent="0.25"/>
    <row r="273" ht="13.2" x14ac:dyDescent="0.25"/>
    <row r="274" ht="13.2" x14ac:dyDescent="0.25"/>
    <row r="275" ht="13.2" x14ac:dyDescent="0.25"/>
    <row r="276" ht="13.2" x14ac:dyDescent="0.25"/>
    <row r="277" ht="13.2" x14ac:dyDescent="0.25"/>
    <row r="278" ht="13.2" x14ac:dyDescent="0.25"/>
    <row r="279" ht="13.2" x14ac:dyDescent="0.25"/>
    <row r="280" ht="13.2" x14ac:dyDescent="0.25"/>
    <row r="281" ht="13.2" x14ac:dyDescent="0.25"/>
    <row r="282" ht="13.2" x14ac:dyDescent="0.25"/>
    <row r="283" ht="13.2" x14ac:dyDescent="0.25"/>
    <row r="284" ht="13.2" x14ac:dyDescent="0.25"/>
    <row r="285" ht="13.2" x14ac:dyDescent="0.25"/>
    <row r="286" ht="13.2" x14ac:dyDescent="0.25"/>
    <row r="287" ht="13.2" x14ac:dyDescent="0.25"/>
    <row r="288" ht="13.2" x14ac:dyDescent="0.25"/>
    <row r="289" ht="13.2" x14ac:dyDescent="0.25"/>
    <row r="290" ht="13.2" x14ac:dyDescent="0.25"/>
    <row r="291" ht="13.2" x14ac:dyDescent="0.25"/>
    <row r="292" ht="13.2" x14ac:dyDescent="0.25"/>
    <row r="293" ht="13.2" x14ac:dyDescent="0.25"/>
    <row r="294" ht="13.2" x14ac:dyDescent="0.25"/>
    <row r="295" ht="13.2" x14ac:dyDescent="0.25"/>
    <row r="296" ht="13.2" x14ac:dyDescent="0.25"/>
    <row r="297" ht="13.2" x14ac:dyDescent="0.25"/>
    <row r="298" ht="13.2" x14ac:dyDescent="0.25"/>
    <row r="299" ht="13.2" x14ac:dyDescent="0.25"/>
    <row r="300" ht="13.2" x14ac:dyDescent="0.25"/>
    <row r="301" ht="13.2" x14ac:dyDescent="0.25"/>
    <row r="302" ht="13.2" x14ac:dyDescent="0.25"/>
    <row r="303" ht="13.2" x14ac:dyDescent="0.25"/>
    <row r="304" ht="13.2" x14ac:dyDescent="0.25"/>
    <row r="305" ht="13.2" x14ac:dyDescent="0.25"/>
    <row r="306" ht="13.2" x14ac:dyDescent="0.25"/>
    <row r="307" ht="13.2" x14ac:dyDescent="0.25"/>
    <row r="308" ht="13.2" x14ac:dyDescent="0.25"/>
    <row r="309" ht="13.2" x14ac:dyDescent="0.25"/>
    <row r="310" ht="13.2" x14ac:dyDescent="0.25"/>
    <row r="311" ht="13.2" x14ac:dyDescent="0.25"/>
    <row r="312" ht="13.2" x14ac:dyDescent="0.25"/>
    <row r="313" ht="13.2" x14ac:dyDescent="0.25"/>
    <row r="314" ht="13.2" x14ac:dyDescent="0.25"/>
    <row r="315" ht="13.2" x14ac:dyDescent="0.25"/>
    <row r="316" ht="13.2" x14ac:dyDescent="0.25"/>
    <row r="317" ht="13.2" x14ac:dyDescent="0.25"/>
    <row r="318" ht="13.2" x14ac:dyDescent="0.25"/>
    <row r="319" ht="13.2" x14ac:dyDescent="0.25"/>
    <row r="320" ht="13.2" x14ac:dyDescent="0.25"/>
    <row r="321" ht="13.2" x14ac:dyDescent="0.25"/>
    <row r="322" ht="13.2" x14ac:dyDescent="0.25"/>
    <row r="323" ht="13.2" x14ac:dyDescent="0.25"/>
    <row r="324" ht="13.2" x14ac:dyDescent="0.25"/>
    <row r="325" ht="13.2" x14ac:dyDescent="0.25"/>
    <row r="326" ht="13.2" x14ac:dyDescent="0.25"/>
    <row r="327" ht="13.2" x14ac:dyDescent="0.25"/>
    <row r="328" ht="13.2" x14ac:dyDescent="0.25"/>
    <row r="329" ht="13.2" x14ac:dyDescent="0.25"/>
    <row r="330" ht="13.2" x14ac:dyDescent="0.25"/>
    <row r="331" ht="13.2" x14ac:dyDescent="0.25"/>
    <row r="332" ht="13.2" x14ac:dyDescent="0.25"/>
    <row r="333" ht="13.2" x14ac:dyDescent="0.25"/>
    <row r="334" ht="13.2" x14ac:dyDescent="0.25"/>
    <row r="335" ht="13.2" x14ac:dyDescent="0.25"/>
    <row r="336" ht="13.2" x14ac:dyDescent="0.25"/>
    <row r="337" ht="13.2" x14ac:dyDescent="0.25"/>
    <row r="338" ht="13.2" x14ac:dyDescent="0.25"/>
    <row r="339" ht="13.2" x14ac:dyDescent="0.25"/>
    <row r="340" ht="13.2" x14ac:dyDescent="0.25"/>
    <row r="341" ht="13.2" x14ac:dyDescent="0.25"/>
    <row r="342" ht="13.2" x14ac:dyDescent="0.25"/>
    <row r="343" ht="13.2" x14ac:dyDescent="0.25"/>
    <row r="344" ht="13.2" x14ac:dyDescent="0.25"/>
    <row r="345" ht="13.2" x14ac:dyDescent="0.25"/>
    <row r="346" ht="13.2" x14ac:dyDescent="0.25"/>
    <row r="347" ht="13.2" x14ac:dyDescent="0.25"/>
    <row r="348" ht="13.2" x14ac:dyDescent="0.25"/>
    <row r="349" ht="13.2" x14ac:dyDescent="0.25"/>
    <row r="350" ht="13.2" x14ac:dyDescent="0.25"/>
    <row r="351" ht="13.2" x14ac:dyDescent="0.25"/>
    <row r="352" ht="13.2" x14ac:dyDescent="0.25"/>
    <row r="353" ht="13.2" x14ac:dyDescent="0.25"/>
    <row r="354" ht="13.2" x14ac:dyDescent="0.25"/>
    <row r="355" ht="13.2" x14ac:dyDescent="0.25"/>
    <row r="356" ht="13.2" x14ac:dyDescent="0.25"/>
    <row r="357" ht="13.2" x14ac:dyDescent="0.25"/>
    <row r="358" ht="13.2" x14ac:dyDescent="0.25"/>
    <row r="359" ht="13.2" x14ac:dyDescent="0.25"/>
    <row r="360" ht="13.2" x14ac:dyDescent="0.25"/>
    <row r="361" ht="13.2" x14ac:dyDescent="0.25"/>
    <row r="362" ht="13.2" x14ac:dyDescent="0.25"/>
    <row r="363" ht="13.2" x14ac:dyDescent="0.25"/>
    <row r="364" ht="13.2" x14ac:dyDescent="0.25"/>
    <row r="365" ht="13.2" x14ac:dyDescent="0.25"/>
    <row r="366" ht="13.2" x14ac:dyDescent="0.25"/>
    <row r="367" ht="13.2" x14ac:dyDescent="0.25"/>
    <row r="368" ht="13.2" x14ac:dyDescent="0.25"/>
    <row r="369" ht="13.2" x14ac:dyDescent="0.25"/>
    <row r="370" ht="13.2" x14ac:dyDescent="0.25"/>
    <row r="371" ht="13.2" x14ac:dyDescent="0.25"/>
    <row r="372" ht="13.2" x14ac:dyDescent="0.25"/>
    <row r="373" ht="13.2" x14ac:dyDescent="0.25"/>
    <row r="374" ht="13.2" x14ac:dyDescent="0.25"/>
    <row r="375" ht="13.2" x14ac:dyDescent="0.25"/>
    <row r="376" ht="13.2" x14ac:dyDescent="0.25"/>
    <row r="377" ht="13.2" x14ac:dyDescent="0.25"/>
    <row r="378" ht="13.2" x14ac:dyDescent="0.25"/>
    <row r="379" ht="13.2" x14ac:dyDescent="0.25"/>
    <row r="380" ht="13.2" x14ac:dyDescent="0.25"/>
    <row r="381" ht="13.2" x14ac:dyDescent="0.25"/>
    <row r="382" ht="13.2" x14ac:dyDescent="0.25"/>
    <row r="383" ht="13.2" x14ac:dyDescent="0.25"/>
    <row r="384" ht="13.2" x14ac:dyDescent="0.25"/>
    <row r="385" ht="13.2" x14ac:dyDescent="0.25"/>
    <row r="386" ht="13.2" x14ac:dyDescent="0.25"/>
    <row r="387" ht="13.2" x14ac:dyDescent="0.25"/>
    <row r="388" ht="13.2" x14ac:dyDescent="0.25"/>
    <row r="389" ht="13.2" x14ac:dyDescent="0.25"/>
    <row r="390" ht="13.2" x14ac:dyDescent="0.25"/>
    <row r="391" ht="13.2" x14ac:dyDescent="0.25"/>
    <row r="392" ht="13.2" x14ac:dyDescent="0.25"/>
    <row r="393" ht="13.2" x14ac:dyDescent="0.25"/>
    <row r="394" ht="13.2" x14ac:dyDescent="0.25"/>
    <row r="395" ht="13.2" x14ac:dyDescent="0.25"/>
    <row r="396" ht="13.2" x14ac:dyDescent="0.25"/>
    <row r="397" ht="13.2" x14ac:dyDescent="0.25"/>
    <row r="398" ht="13.2" x14ac:dyDescent="0.25"/>
    <row r="399" ht="13.2" x14ac:dyDescent="0.25"/>
    <row r="400" ht="13.2" x14ac:dyDescent="0.25"/>
    <row r="401" ht="13.2" x14ac:dyDescent="0.25"/>
    <row r="402" ht="13.2" x14ac:dyDescent="0.25"/>
    <row r="403" ht="13.2" x14ac:dyDescent="0.25"/>
    <row r="404" ht="13.2" x14ac:dyDescent="0.25"/>
    <row r="405" ht="13.2" x14ac:dyDescent="0.25"/>
    <row r="406" ht="13.2" x14ac:dyDescent="0.25"/>
    <row r="407" ht="13.2" x14ac:dyDescent="0.25"/>
    <row r="408" ht="13.2" x14ac:dyDescent="0.25"/>
    <row r="409" ht="13.2" x14ac:dyDescent="0.25"/>
    <row r="410" ht="13.2" x14ac:dyDescent="0.25"/>
    <row r="411" ht="13.2" x14ac:dyDescent="0.25"/>
    <row r="412" ht="13.2" x14ac:dyDescent="0.25"/>
    <row r="413" ht="13.2" x14ac:dyDescent="0.25"/>
    <row r="414" ht="13.2" x14ac:dyDescent="0.25"/>
    <row r="415" ht="13.2" x14ac:dyDescent="0.25"/>
    <row r="416" ht="13.2" x14ac:dyDescent="0.25"/>
    <row r="417" ht="13.2" x14ac:dyDescent="0.25"/>
    <row r="418" ht="13.2" x14ac:dyDescent="0.25"/>
    <row r="419" ht="13.2" x14ac:dyDescent="0.25"/>
    <row r="420" ht="13.2" x14ac:dyDescent="0.25"/>
    <row r="421" ht="13.2" x14ac:dyDescent="0.25"/>
    <row r="422" ht="13.2" x14ac:dyDescent="0.25"/>
    <row r="423" ht="13.2" x14ac:dyDescent="0.25"/>
    <row r="424" ht="13.2" x14ac:dyDescent="0.25"/>
    <row r="425" ht="13.2" x14ac:dyDescent="0.25"/>
    <row r="426" ht="13.2" x14ac:dyDescent="0.25"/>
    <row r="427" ht="13.2" x14ac:dyDescent="0.25"/>
    <row r="428" ht="13.2" x14ac:dyDescent="0.25"/>
    <row r="429" ht="13.2" x14ac:dyDescent="0.25"/>
    <row r="430" ht="13.2" x14ac:dyDescent="0.25"/>
    <row r="431" ht="13.2" x14ac:dyDescent="0.25"/>
    <row r="432" ht="13.2" x14ac:dyDescent="0.25"/>
    <row r="433" ht="13.2" x14ac:dyDescent="0.25"/>
    <row r="434" ht="13.2" x14ac:dyDescent="0.25"/>
    <row r="435" ht="13.2" x14ac:dyDescent="0.25"/>
    <row r="436" ht="13.2" x14ac:dyDescent="0.25"/>
    <row r="437" ht="13.2" x14ac:dyDescent="0.25"/>
    <row r="438" ht="13.2" x14ac:dyDescent="0.25"/>
    <row r="439" ht="13.2" x14ac:dyDescent="0.25"/>
    <row r="440" ht="13.2" x14ac:dyDescent="0.25"/>
    <row r="441" ht="13.2" x14ac:dyDescent="0.25"/>
    <row r="442" ht="13.2" x14ac:dyDescent="0.25"/>
    <row r="443" ht="13.2" x14ac:dyDescent="0.25"/>
    <row r="444" ht="13.2" x14ac:dyDescent="0.25"/>
    <row r="445" ht="13.2" x14ac:dyDescent="0.25"/>
    <row r="446" ht="13.2" x14ac:dyDescent="0.25"/>
    <row r="447" ht="13.2" x14ac:dyDescent="0.25"/>
    <row r="448" ht="13.2" x14ac:dyDescent="0.25"/>
    <row r="449" ht="13.2" x14ac:dyDescent="0.25"/>
    <row r="450" ht="13.2" x14ac:dyDescent="0.25"/>
    <row r="451" ht="13.2" x14ac:dyDescent="0.25"/>
    <row r="452" ht="13.2" x14ac:dyDescent="0.25"/>
    <row r="453" ht="13.2" x14ac:dyDescent="0.25"/>
    <row r="454" ht="13.2" x14ac:dyDescent="0.25"/>
    <row r="455" ht="13.2" x14ac:dyDescent="0.25"/>
    <row r="456" ht="13.2" x14ac:dyDescent="0.25"/>
    <row r="457" ht="13.2" x14ac:dyDescent="0.25"/>
    <row r="458" ht="13.2" x14ac:dyDescent="0.25"/>
    <row r="459" ht="13.2" x14ac:dyDescent="0.25"/>
    <row r="460" ht="13.2" x14ac:dyDescent="0.25"/>
    <row r="461" ht="13.2" x14ac:dyDescent="0.25"/>
    <row r="462" ht="13.2" x14ac:dyDescent="0.25"/>
    <row r="463" ht="13.2" x14ac:dyDescent="0.25"/>
    <row r="464" ht="13.2" x14ac:dyDescent="0.25"/>
    <row r="465" ht="13.2" x14ac:dyDescent="0.25"/>
    <row r="466" ht="13.2" x14ac:dyDescent="0.25"/>
    <row r="467" ht="13.2" x14ac:dyDescent="0.25"/>
    <row r="468" ht="13.2" x14ac:dyDescent="0.25"/>
    <row r="469" ht="13.2" x14ac:dyDescent="0.25"/>
    <row r="470" ht="13.2" x14ac:dyDescent="0.25"/>
    <row r="471" ht="13.2" x14ac:dyDescent="0.25"/>
    <row r="472" ht="13.2" x14ac:dyDescent="0.25"/>
    <row r="473" ht="13.2" x14ac:dyDescent="0.25"/>
    <row r="474" ht="13.2" x14ac:dyDescent="0.25"/>
    <row r="475" ht="13.2" x14ac:dyDescent="0.25"/>
    <row r="476" ht="13.2" x14ac:dyDescent="0.25"/>
    <row r="477" ht="13.2" x14ac:dyDescent="0.25"/>
    <row r="478" ht="13.2" x14ac:dyDescent="0.25"/>
    <row r="479" ht="13.2" x14ac:dyDescent="0.25"/>
    <row r="480" ht="13.2" x14ac:dyDescent="0.25"/>
    <row r="481" ht="13.2" x14ac:dyDescent="0.25"/>
    <row r="482" ht="13.2" x14ac:dyDescent="0.25"/>
    <row r="483" ht="13.2" x14ac:dyDescent="0.25"/>
    <row r="484" ht="13.2" x14ac:dyDescent="0.25"/>
    <row r="485" ht="13.2" x14ac:dyDescent="0.25"/>
    <row r="486" ht="13.2" x14ac:dyDescent="0.25"/>
    <row r="487" ht="13.2" x14ac:dyDescent="0.25"/>
    <row r="488" ht="13.2" x14ac:dyDescent="0.25"/>
    <row r="489" ht="13.2" x14ac:dyDescent="0.25"/>
    <row r="490" ht="13.2" x14ac:dyDescent="0.25"/>
    <row r="491" ht="13.2" x14ac:dyDescent="0.25"/>
    <row r="492" ht="13.2" x14ac:dyDescent="0.25"/>
    <row r="493" ht="13.2" x14ac:dyDescent="0.25"/>
    <row r="494" ht="13.2" x14ac:dyDescent="0.25"/>
    <row r="495" ht="13.2" x14ac:dyDescent="0.25"/>
    <row r="496" ht="13.2" x14ac:dyDescent="0.25"/>
    <row r="497" ht="13.2" x14ac:dyDescent="0.25"/>
    <row r="498" ht="13.2" x14ac:dyDescent="0.25"/>
    <row r="499" ht="13.2" x14ac:dyDescent="0.25"/>
    <row r="500" ht="13.2" x14ac:dyDescent="0.25"/>
    <row r="501" ht="13.2" x14ac:dyDescent="0.25"/>
    <row r="502" ht="13.2" x14ac:dyDescent="0.25"/>
    <row r="503" ht="13.2" x14ac:dyDescent="0.25"/>
    <row r="504" ht="13.2" x14ac:dyDescent="0.25"/>
    <row r="505" ht="13.2" x14ac:dyDescent="0.25"/>
    <row r="506" ht="13.2" x14ac:dyDescent="0.25"/>
    <row r="507" ht="13.2" x14ac:dyDescent="0.25"/>
    <row r="508" ht="13.2" x14ac:dyDescent="0.25"/>
    <row r="509" ht="13.2" x14ac:dyDescent="0.25"/>
    <row r="510" ht="13.2" x14ac:dyDescent="0.25"/>
    <row r="511" ht="13.2" x14ac:dyDescent="0.25"/>
    <row r="512" ht="13.2" x14ac:dyDescent="0.25"/>
    <row r="513" ht="13.2" x14ac:dyDescent="0.25"/>
    <row r="514" ht="13.2" x14ac:dyDescent="0.25"/>
    <row r="515" ht="13.2" x14ac:dyDescent="0.25"/>
    <row r="516" ht="13.2" x14ac:dyDescent="0.25"/>
    <row r="517" ht="13.2" x14ac:dyDescent="0.25"/>
    <row r="518" ht="13.2" x14ac:dyDescent="0.25"/>
    <row r="519" ht="13.2" x14ac:dyDescent="0.25"/>
    <row r="520" ht="13.2" x14ac:dyDescent="0.25"/>
    <row r="521" ht="13.2" x14ac:dyDescent="0.25"/>
    <row r="522" ht="13.2" x14ac:dyDescent="0.25"/>
    <row r="523" ht="13.2" x14ac:dyDescent="0.25"/>
    <row r="524" ht="13.2" x14ac:dyDescent="0.25"/>
    <row r="525" ht="13.2" x14ac:dyDescent="0.25"/>
    <row r="526" ht="13.2" x14ac:dyDescent="0.25"/>
    <row r="527" ht="13.2" x14ac:dyDescent="0.25"/>
    <row r="528" ht="13.2" x14ac:dyDescent="0.25"/>
    <row r="529" ht="13.2" x14ac:dyDescent="0.25"/>
    <row r="530" ht="13.2" x14ac:dyDescent="0.25"/>
    <row r="531" ht="13.2" x14ac:dyDescent="0.25"/>
    <row r="532" ht="13.2" x14ac:dyDescent="0.25"/>
    <row r="533" ht="13.2" x14ac:dyDescent="0.25"/>
    <row r="534" ht="13.2" x14ac:dyDescent="0.25"/>
    <row r="535" ht="13.2" x14ac:dyDescent="0.25"/>
    <row r="536" ht="13.2" x14ac:dyDescent="0.25"/>
    <row r="537" ht="13.2" x14ac:dyDescent="0.25"/>
    <row r="538" ht="13.2" x14ac:dyDescent="0.25"/>
    <row r="539" ht="13.2" x14ac:dyDescent="0.25"/>
    <row r="540" ht="13.2" x14ac:dyDescent="0.25"/>
    <row r="541" ht="13.2" x14ac:dyDescent="0.25"/>
    <row r="542" ht="13.2" x14ac:dyDescent="0.25"/>
    <row r="543" ht="13.2" x14ac:dyDescent="0.25"/>
    <row r="544" ht="13.2" x14ac:dyDescent="0.25"/>
    <row r="545" ht="13.2" x14ac:dyDescent="0.25"/>
    <row r="546" ht="13.2" x14ac:dyDescent="0.25"/>
    <row r="547" ht="13.2" x14ac:dyDescent="0.25"/>
    <row r="548" ht="13.2" x14ac:dyDescent="0.25"/>
    <row r="549" ht="13.2" x14ac:dyDescent="0.25"/>
    <row r="550" ht="13.2" x14ac:dyDescent="0.25"/>
    <row r="551" ht="13.2" x14ac:dyDescent="0.25"/>
    <row r="552" ht="13.2" x14ac:dyDescent="0.25"/>
    <row r="553" ht="13.2" x14ac:dyDescent="0.25"/>
    <row r="554" ht="13.2" x14ac:dyDescent="0.25"/>
    <row r="555" ht="13.2" x14ac:dyDescent="0.25"/>
    <row r="556" ht="13.2" x14ac:dyDescent="0.25"/>
    <row r="557" ht="13.2" x14ac:dyDescent="0.25"/>
    <row r="558" ht="13.2" x14ac:dyDescent="0.25"/>
    <row r="559" ht="13.2" x14ac:dyDescent="0.25"/>
    <row r="560" ht="13.2" x14ac:dyDescent="0.25"/>
    <row r="561" ht="13.2" x14ac:dyDescent="0.25"/>
    <row r="562" ht="13.2" x14ac:dyDescent="0.25"/>
    <row r="563" ht="13.2" x14ac:dyDescent="0.25"/>
    <row r="564" ht="13.2" x14ac:dyDescent="0.25"/>
    <row r="565" ht="13.2" x14ac:dyDescent="0.25"/>
    <row r="566" ht="13.2" x14ac:dyDescent="0.25"/>
    <row r="567" ht="13.2" x14ac:dyDescent="0.25"/>
    <row r="568" ht="13.2" x14ac:dyDescent="0.25"/>
    <row r="569" ht="13.2" x14ac:dyDescent="0.25"/>
    <row r="570" ht="13.2" x14ac:dyDescent="0.25"/>
    <row r="571" ht="13.2" x14ac:dyDescent="0.25"/>
    <row r="572" ht="13.2" x14ac:dyDescent="0.25"/>
    <row r="573" ht="13.2" x14ac:dyDescent="0.25"/>
    <row r="574" ht="13.2" x14ac:dyDescent="0.25"/>
    <row r="575" ht="13.2" x14ac:dyDescent="0.25"/>
    <row r="576" ht="13.2" x14ac:dyDescent="0.25"/>
    <row r="577" ht="13.2" x14ac:dyDescent="0.25"/>
    <row r="578" ht="13.2" x14ac:dyDescent="0.25"/>
    <row r="579" ht="13.2" x14ac:dyDescent="0.25"/>
    <row r="580" ht="13.2" x14ac:dyDescent="0.25"/>
    <row r="581" ht="13.2" x14ac:dyDescent="0.25"/>
    <row r="582" ht="13.2" x14ac:dyDescent="0.25"/>
    <row r="583" ht="13.2" x14ac:dyDescent="0.25"/>
    <row r="584" ht="13.2" x14ac:dyDescent="0.25"/>
    <row r="585" ht="13.2" x14ac:dyDescent="0.25"/>
    <row r="586" ht="13.2" x14ac:dyDescent="0.25"/>
    <row r="587" ht="13.2" x14ac:dyDescent="0.25"/>
    <row r="588" ht="13.2" x14ac:dyDescent="0.25"/>
    <row r="589" ht="13.2" x14ac:dyDescent="0.25"/>
    <row r="590" ht="13.2" x14ac:dyDescent="0.25"/>
    <row r="591" ht="13.2" x14ac:dyDescent="0.25"/>
    <row r="592" ht="13.2" x14ac:dyDescent="0.25"/>
    <row r="593" ht="13.2" x14ac:dyDescent="0.25"/>
    <row r="594" ht="13.2" x14ac:dyDescent="0.25"/>
    <row r="595" ht="13.2" x14ac:dyDescent="0.25"/>
    <row r="596" ht="13.2" x14ac:dyDescent="0.25"/>
    <row r="597" ht="13.2" x14ac:dyDescent="0.25"/>
    <row r="598" ht="13.2" x14ac:dyDescent="0.25"/>
    <row r="599" ht="13.2" x14ac:dyDescent="0.25"/>
    <row r="600" ht="13.2" x14ac:dyDescent="0.25"/>
    <row r="601" ht="13.2" x14ac:dyDescent="0.25"/>
    <row r="602" ht="13.2" x14ac:dyDescent="0.25"/>
    <row r="603" ht="13.2" x14ac:dyDescent="0.25"/>
    <row r="604" ht="13.2" x14ac:dyDescent="0.25"/>
    <row r="605" ht="13.2" x14ac:dyDescent="0.25"/>
    <row r="606" ht="13.2" x14ac:dyDescent="0.25"/>
    <row r="607" ht="13.2" x14ac:dyDescent="0.25"/>
    <row r="608" ht="13.2" x14ac:dyDescent="0.25"/>
    <row r="609" ht="13.2" x14ac:dyDescent="0.25"/>
    <row r="610" ht="13.2" x14ac:dyDescent="0.25"/>
    <row r="611" ht="13.2" x14ac:dyDescent="0.25"/>
    <row r="612" ht="13.2" x14ac:dyDescent="0.25"/>
    <row r="613" ht="13.2" x14ac:dyDescent="0.25"/>
    <row r="614" ht="13.2" x14ac:dyDescent="0.25"/>
    <row r="615" ht="13.2" x14ac:dyDescent="0.25"/>
    <row r="616" ht="13.2" x14ac:dyDescent="0.25"/>
    <row r="617" ht="13.2" x14ac:dyDescent="0.25"/>
    <row r="618" ht="13.2" x14ac:dyDescent="0.25"/>
    <row r="619" ht="13.2" x14ac:dyDescent="0.25"/>
    <row r="620" ht="13.2" x14ac:dyDescent="0.25"/>
    <row r="621" ht="13.2" x14ac:dyDescent="0.25"/>
    <row r="622" ht="13.2" x14ac:dyDescent="0.25"/>
    <row r="623" ht="13.2" x14ac:dyDescent="0.25"/>
    <row r="624" ht="13.2" x14ac:dyDescent="0.25"/>
    <row r="625" ht="13.2" x14ac:dyDescent="0.25"/>
    <row r="626" ht="13.2" x14ac:dyDescent="0.25"/>
    <row r="627" ht="13.2" x14ac:dyDescent="0.25"/>
    <row r="628" ht="13.2" x14ac:dyDescent="0.25"/>
    <row r="629" ht="13.2" x14ac:dyDescent="0.25"/>
    <row r="630" ht="13.2" x14ac:dyDescent="0.25"/>
    <row r="631" ht="13.2" x14ac:dyDescent="0.25"/>
    <row r="632" ht="13.2" x14ac:dyDescent="0.25"/>
    <row r="633" ht="13.2" x14ac:dyDescent="0.25"/>
    <row r="634" ht="13.2" x14ac:dyDescent="0.25"/>
    <row r="635" ht="13.2" x14ac:dyDescent="0.25"/>
    <row r="636" ht="13.2" x14ac:dyDescent="0.25"/>
    <row r="637" ht="13.2" x14ac:dyDescent="0.25"/>
    <row r="638" ht="13.2" x14ac:dyDescent="0.25"/>
    <row r="639" ht="13.2" x14ac:dyDescent="0.25"/>
    <row r="640" ht="13.2" x14ac:dyDescent="0.25"/>
    <row r="641" ht="13.2" x14ac:dyDescent="0.25"/>
    <row r="642" ht="13.2" x14ac:dyDescent="0.25"/>
    <row r="643" ht="13.2" x14ac:dyDescent="0.25"/>
    <row r="644" ht="13.2" x14ac:dyDescent="0.25"/>
    <row r="645" ht="13.2" x14ac:dyDescent="0.25"/>
    <row r="646" ht="13.2" x14ac:dyDescent="0.25"/>
    <row r="647" ht="13.2" x14ac:dyDescent="0.25"/>
    <row r="648" ht="13.2" x14ac:dyDescent="0.25"/>
    <row r="649" ht="13.2" x14ac:dyDescent="0.25"/>
    <row r="650" ht="13.2" x14ac:dyDescent="0.25"/>
    <row r="651" ht="13.2" x14ac:dyDescent="0.25"/>
    <row r="652" ht="13.2" x14ac:dyDescent="0.25"/>
    <row r="653" ht="13.2" x14ac:dyDescent="0.25"/>
    <row r="654" ht="13.2" x14ac:dyDescent="0.25"/>
    <row r="655" ht="13.2" x14ac:dyDescent="0.25"/>
    <row r="656" ht="13.2" x14ac:dyDescent="0.25"/>
    <row r="657" ht="13.2" x14ac:dyDescent="0.25"/>
    <row r="658" ht="13.2" x14ac:dyDescent="0.25"/>
    <row r="659" ht="13.2" x14ac:dyDescent="0.25"/>
    <row r="660" ht="13.2" x14ac:dyDescent="0.25"/>
    <row r="661" ht="13.2" x14ac:dyDescent="0.25"/>
    <row r="662" ht="13.2" x14ac:dyDescent="0.25"/>
    <row r="663" ht="13.2" x14ac:dyDescent="0.25"/>
    <row r="664" ht="13.2" x14ac:dyDescent="0.25"/>
    <row r="665" ht="13.2" x14ac:dyDescent="0.25"/>
    <row r="666" ht="13.2" x14ac:dyDescent="0.25"/>
    <row r="667" ht="13.2" x14ac:dyDescent="0.25"/>
    <row r="668" ht="13.2" x14ac:dyDescent="0.25"/>
    <row r="669" ht="13.2" x14ac:dyDescent="0.25"/>
    <row r="670" ht="13.2" x14ac:dyDescent="0.25"/>
    <row r="671" ht="13.2" x14ac:dyDescent="0.25"/>
    <row r="672" ht="13.2" x14ac:dyDescent="0.25"/>
    <row r="673" ht="13.2" x14ac:dyDescent="0.25"/>
    <row r="674" ht="13.2" x14ac:dyDescent="0.25"/>
    <row r="675" ht="13.2" x14ac:dyDescent="0.25"/>
    <row r="676" ht="13.2" x14ac:dyDescent="0.25"/>
    <row r="677" ht="13.2" x14ac:dyDescent="0.25"/>
    <row r="678" ht="13.2" x14ac:dyDescent="0.25"/>
    <row r="679" ht="13.2" x14ac:dyDescent="0.25"/>
    <row r="680" ht="13.2" x14ac:dyDescent="0.25"/>
    <row r="681" ht="13.2" x14ac:dyDescent="0.25"/>
    <row r="682" ht="13.2" x14ac:dyDescent="0.25"/>
    <row r="683" ht="13.2" x14ac:dyDescent="0.25"/>
    <row r="684" ht="13.2" x14ac:dyDescent="0.25"/>
    <row r="685" ht="13.2" x14ac:dyDescent="0.25"/>
    <row r="686" ht="13.2" x14ac:dyDescent="0.25"/>
    <row r="687" ht="13.2" x14ac:dyDescent="0.25"/>
    <row r="688" ht="13.2" x14ac:dyDescent="0.25"/>
    <row r="689" ht="13.2" x14ac:dyDescent="0.25"/>
    <row r="690" ht="13.2" x14ac:dyDescent="0.25"/>
    <row r="691" ht="13.2" x14ac:dyDescent="0.25"/>
    <row r="692" ht="13.2" x14ac:dyDescent="0.25"/>
    <row r="693" ht="13.2" x14ac:dyDescent="0.25"/>
    <row r="694" ht="13.2" x14ac:dyDescent="0.25"/>
    <row r="695" ht="13.2" x14ac:dyDescent="0.25"/>
    <row r="696" ht="13.2" x14ac:dyDescent="0.25"/>
    <row r="697" ht="13.2" x14ac:dyDescent="0.25"/>
    <row r="698" ht="13.2" x14ac:dyDescent="0.25"/>
    <row r="699" ht="13.2" x14ac:dyDescent="0.25"/>
    <row r="700" ht="13.2" x14ac:dyDescent="0.25"/>
    <row r="701" ht="13.2" x14ac:dyDescent="0.25"/>
    <row r="702" ht="13.2" x14ac:dyDescent="0.25"/>
    <row r="703" ht="13.2" x14ac:dyDescent="0.25"/>
    <row r="704" ht="13.2" x14ac:dyDescent="0.25"/>
    <row r="705" ht="13.2" x14ac:dyDescent="0.25"/>
    <row r="706" ht="13.2" x14ac:dyDescent="0.25"/>
    <row r="707" ht="13.2" x14ac:dyDescent="0.25"/>
    <row r="708" ht="13.2" x14ac:dyDescent="0.25"/>
    <row r="709" ht="13.2" x14ac:dyDescent="0.25"/>
    <row r="710" ht="13.2" x14ac:dyDescent="0.25"/>
    <row r="711" ht="13.2" x14ac:dyDescent="0.25"/>
    <row r="712" ht="13.2" x14ac:dyDescent="0.25"/>
    <row r="713" ht="13.2" x14ac:dyDescent="0.25"/>
    <row r="714" ht="13.2" x14ac:dyDescent="0.25"/>
    <row r="715" ht="13.2" x14ac:dyDescent="0.25"/>
    <row r="716" ht="13.2" x14ac:dyDescent="0.25"/>
    <row r="717" ht="13.2" x14ac:dyDescent="0.25"/>
    <row r="718" ht="13.2" x14ac:dyDescent="0.25"/>
    <row r="719" ht="13.2" x14ac:dyDescent="0.25"/>
    <row r="720" ht="13.2" x14ac:dyDescent="0.25"/>
    <row r="721" ht="13.2" x14ac:dyDescent="0.25"/>
    <row r="722" ht="13.2" x14ac:dyDescent="0.25"/>
    <row r="723" ht="13.2" x14ac:dyDescent="0.25"/>
    <row r="724" ht="13.2" x14ac:dyDescent="0.25"/>
    <row r="725" ht="13.2" x14ac:dyDescent="0.25"/>
    <row r="726" ht="13.2" x14ac:dyDescent="0.25"/>
    <row r="727" ht="13.2" x14ac:dyDescent="0.25"/>
    <row r="728" ht="13.2" x14ac:dyDescent="0.25"/>
    <row r="729" ht="13.2" x14ac:dyDescent="0.25"/>
    <row r="730" ht="13.2" x14ac:dyDescent="0.25"/>
    <row r="731" ht="13.2" x14ac:dyDescent="0.25"/>
    <row r="732" ht="13.2" x14ac:dyDescent="0.25"/>
    <row r="733" ht="13.2" x14ac:dyDescent="0.25"/>
    <row r="734" ht="13.2" x14ac:dyDescent="0.25"/>
    <row r="735" ht="13.2" x14ac:dyDescent="0.25"/>
    <row r="736" ht="13.2" x14ac:dyDescent="0.25"/>
    <row r="737" ht="13.2" x14ac:dyDescent="0.25"/>
    <row r="738" ht="13.2" x14ac:dyDescent="0.25"/>
    <row r="739" ht="13.2" x14ac:dyDescent="0.25"/>
    <row r="740" ht="13.2" x14ac:dyDescent="0.25"/>
    <row r="741" ht="13.2" x14ac:dyDescent="0.25"/>
    <row r="742" ht="13.2" x14ac:dyDescent="0.25"/>
    <row r="743" ht="13.2" x14ac:dyDescent="0.25"/>
    <row r="744" ht="13.2" x14ac:dyDescent="0.25"/>
    <row r="745" ht="13.2" x14ac:dyDescent="0.25"/>
    <row r="746" ht="13.2" x14ac:dyDescent="0.25"/>
    <row r="747" ht="13.2" x14ac:dyDescent="0.25"/>
    <row r="748" ht="13.2" x14ac:dyDescent="0.25"/>
    <row r="749" ht="13.2" x14ac:dyDescent="0.25"/>
    <row r="750" ht="13.2" x14ac:dyDescent="0.25"/>
    <row r="751" ht="13.2" x14ac:dyDescent="0.25"/>
    <row r="752" ht="13.2" x14ac:dyDescent="0.25"/>
    <row r="753" ht="13.2" x14ac:dyDescent="0.25"/>
    <row r="754" ht="13.2" x14ac:dyDescent="0.25"/>
    <row r="755" ht="13.2" x14ac:dyDescent="0.25"/>
    <row r="756" ht="13.2" x14ac:dyDescent="0.25"/>
    <row r="757" ht="13.2" x14ac:dyDescent="0.25"/>
    <row r="758" ht="13.2" x14ac:dyDescent="0.25"/>
    <row r="759" ht="13.2" x14ac:dyDescent="0.25"/>
    <row r="760" ht="13.2" x14ac:dyDescent="0.25"/>
    <row r="761" ht="13.2" x14ac:dyDescent="0.25"/>
    <row r="762" ht="13.2" x14ac:dyDescent="0.25"/>
    <row r="763" ht="13.2" x14ac:dyDescent="0.25"/>
    <row r="764" ht="13.2" x14ac:dyDescent="0.25"/>
    <row r="765" ht="13.2" x14ac:dyDescent="0.25"/>
    <row r="766" ht="13.2" x14ac:dyDescent="0.25"/>
    <row r="767" ht="13.2" x14ac:dyDescent="0.25"/>
    <row r="768" ht="13.2" x14ac:dyDescent="0.25"/>
    <row r="769" ht="13.2" x14ac:dyDescent="0.25"/>
    <row r="770" ht="13.2" x14ac:dyDescent="0.25"/>
    <row r="771" ht="13.2" x14ac:dyDescent="0.25"/>
    <row r="772" ht="13.2" x14ac:dyDescent="0.25"/>
    <row r="773" ht="13.2" x14ac:dyDescent="0.25"/>
    <row r="774" ht="13.2" x14ac:dyDescent="0.25"/>
    <row r="775" ht="13.2" x14ac:dyDescent="0.25"/>
    <row r="776" ht="13.2" x14ac:dyDescent="0.25"/>
    <row r="777" ht="13.2" x14ac:dyDescent="0.25"/>
    <row r="778" ht="13.2" x14ac:dyDescent="0.25"/>
    <row r="779" ht="13.2" x14ac:dyDescent="0.25"/>
    <row r="780" ht="13.2" x14ac:dyDescent="0.25"/>
    <row r="781" ht="13.2" x14ac:dyDescent="0.25"/>
    <row r="782" ht="13.2" x14ac:dyDescent="0.25"/>
    <row r="783" ht="13.2" x14ac:dyDescent="0.25"/>
    <row r="784" ht="13.2" x14ac:dyDescent="0.25"/>
    <row r="785" ht="13.2" x14ac:dyDescent="0.25"/>
    <row r="786" ht="13.2" x14ac:dyDescent="0.25"/>
    <row r="787" ht="13.2" x14ac:dyDescent="0.25"/>
    <row r="788" ht="13.2" x14ac:dyDescent="0.25"/>
    <row r="789" ht="13.2" x14ac:dyDescent="0.25"/>
    <row r="790" ht="13.2" x14ac:dyDescent="0.25"/>
    <row r="791" ht="13.2" x14ac:dyDescent="0.25"/>
    <row r="792" ht="13.2" x14ac:dyDescent="0.25"/>
    <row r="793" ht="13.2" x14ac:dyDescent="0.25"/>
    <row r="794" ht="13.2" x14ac:dyDescent="0.25"/>
    <row r="795" ht="13.2" x14ac:dyDescent="0.25"/>
    <row r="796" ht="13.2" x14ac:dyDescent="0.25"/>
    <row r="797" ht="13.2" x14ac:dyDescent="0.25"/>
    <row r="798" ht="13.2" x14ac:dyDescent="0.25"/>
    <row r="799" ht="13.2" x14ac:dyDescent="0.25"/>
    <row r="800" ht="13.2" x14ac:dyDescent="0.25"/>
    <row r="801" ht="13.2" x14ac:dyDescent="0.25"/>
    <row r="802" ht="13.2" x14ac:dyDescent="0.25"/>
    <row r="803" ht="13.2" x14ac:dyDescent="0.25"/>
    <row r="804" ht="13.2" x14ac:dyDescent="0.25"/>
    <row r="805" ht="13.2" x14ac:dyDescent="0.25"/>
    <row r="806" ht="13.2" x14ac:dyDescent="0.25"/>
    <row r="807" ht="13.2" x14ac:dyDescent="0.25"/>
    <row r="808" ht="13.2" x14ac:dyDescent="0.25"/>
    <row r="809" ht="13.2" x14ac:dyDescent="0.25"/>
    <row r="810" ht="13.2" x14ac:dyDescent="0.25"/>
    <row r="811" ht="13.2" x14ac:dyDescent="0.25"/>
    <row r="812" ht="13.2" x14ac:dyDescent="0.25"/>
    <row r="813" ht="13.2" x14ac:dyDescent="0.25"/>
    <row r="814" ht="13.2" x14ac:dyDescent="0.25"/>
    <row r="815" ht="13.2" x14ac:dyDescent="0.25"/>
    <row r="816" ht="13.2" x14ac:dyDescent="0.25"/>
    <row r="817" ht="13.2" x14ac:dyDescent="0.25"/>
    <row r="818" ht="13.2" x14ac:dyDescent="0.25"/>
    <row r="819" ht="13.2" x14ac:dyDescent="0.25"/>
    <row r="820" ht="13.2" x14ac:dyDescent="0.25"/>
    <row r="821" ht="13.2" x14ac:dyDescent="0.25"/>
    <row r="822" ht="13.2" x14ac:dyDescent="0.25"/>
    <row r="823" ht="13.2" x14ac:dyDescent="0.25"/>
    <row r="824" ht="13.2" x14ac:dyDescent="0.25"/>
    <row r="825" ht="13.2" x14ac:dyDescent="0.25"/>
    <row r="826" ht="13.2" x14ac:dyDescent="0.25"/>
    <row r="827" ht="13.2" x14ac:dyDescent="0.25"/>
    <row r="828" ht="13.2" x14ac:dyDescent="0.25"/>
    <row r="829" ht="13.2" x14ac:dyDescent="0.25"/>
    <row r="830" ht="13.2" x14ac:dyDescent="0.25"/>
    <row r="831" ht="13.2" x14ac:dyDescent="0.25"/>
    <row r="832" ht="13.2" x14ac:dyDescent="0.25"/>
    <row r="833" ht="13.2" x14ac:dyDescent="0.25"/>
    <row r="834" ht="13.2" x14ac:dyDescent="0.25"/>
    <row r="835" ht="13.2" x14ac:dyDescent="0.25"/>
    <row r="836" ht="13.2" x14ac:dyDescent="0.25"/>
    <row r="837" ht="13.2" x14ac:dyDescent="0.25"/>
    <row r="838" ht="13.2" x14ac:dyDescent="0.25"/>
    <row r="839" ht="13.2" x14ac:dyDescent="0.25"/>
    <row r="840" ht="13.2" x14ac:dyDescent="0.25"/>
    <row r="841" ht="13.2" x14ac:dyDescent="0.25"/>
    <row r="842" ht="13.2" x14ac:dyDescent="0.25"/>
    <row r="843" ht="13.2" x14ac:dyDescent="0.25"/>
    <row r="844" ht="13.2" x14ac:dyDescent="0.25"/>
    <row r="845" ht="13.2" x14ac:dyDescent="0.25"/>
    <row r="846" ht="13.2" x14ac:dyDescent="0.25"/>
    <row r="847" ht="13.2" x14ac:dyDescent="0.25"/>
    <row r="848" ht="13.2" x14ac:dyDescent="0.25"/>
    <row r="849" ht="13.2" x14ac:dyDescent="0.25"/>
    <row r="850" ht="13.2" x14ac:dyDescent="0.25"/>
    <row r="851" ht="13.2" x14ac:dyDescent="0.25"/>
    <row r="852" ht="13.2" x14ac:dyDescent="0.25"/>
    <row r="853" ht="13.2" x14ac:dyDescent="0.25"/>
    <row r="854" ht="13.2" x14ac:dyDescent="0.25"/>
    <row r="855" ht="13.2" x14ac:dyDescent="0.25"/>
    <row r="856" ht="13.2" x14ac:dyDescent="0.25"/>
    <row r="857" ht="13.2" x14ac:dyDescent="0.25"/>
    <row r="858" ht="13.2" x14ac:dyDescent="0.25"/>
    <row r="859" ht="13.2" x14ac:dyDescent="0.25"/>
    <row r="860" ht="13.2" x14ac:dyDescent="0.25"/>
    <row r="861" ht="13.2" x14ac:dyDescent="0.25"/>
    <row r="862" ht="13.2" x14ac:dyDescent="0.25"/>
    <row r="863" ht="13.2" x14ac:dyDescent="0.25"/>
    <row r="864" ht="13.2" x14ac:dyDescent="0.25"/>
    <row r="865" ht="13.2" x14ac:dyDescent="0.25"/>
    <row r="866" ht="13.2" x14ac:dyDescent="0.25"/>
    <row r="867" ht="13.2" x14ac:dyDescent="0.25"/>
    <row r="868" ht="13.2" x14ac:dyDescent="0.25"/>
    <row r="869" ht="13.2" x14ac:dyDescent="0.25"/>
    <row r="870" ht="13.2" x14ac:dyDescent="0.25"/>
    <row r="871" ht="13.2" x14ac:dyDescent="0.25"/>
    <row r="872" ht="13.2" x14ac:dyDescent="0.25"/>
    <row r="873" ht="13.2" x14ac:dyDescent="0.25"/>
    <row r="874" ht="13.2" x14ac:dyDescent="0.25"/>
    <row r="875" ht="13.2" x14ac:dyDescent="0.25"/>
    <row r="876" ht="13.2" x14ac:dyDescent="0.25"/>
    <row r="877" ht="13.2" x14ac:dyDescent="0.25"/>
    <row r="878" ht="13.2" x14ac:dyDescent="0.25"/>
    <row r="879" ht="13.2" x14ac:dyDescent="0.25"/>
    <row r="880" ht="13.2" x14ac:dyDescent="0.25"/>
    <row r="881" ht="13.2" x14ac:dyDescent="0.25"/>
    <row r="882" ht="13.2" x14ac:dyDescent="0.25"/>
    <row r="883" ht="13.2" x14ac:dyDescent="0.25"/>
    <row r="884" ht="13.2" x14ac:dyDescent="0.25"/>
    <row r="885" ht="13.2" x14ac:dyDescent="0.25"/>
    <row r="886" ht="13.2" x14ac:dyDescent="0.25"/>
    <row r="887" ht="13.2" x14ac:dyDescent="0.25"/>
    <row r="888" ht="13.2" x14ac:dyDescent="0.25"/>
    <row r="889" ht="13.2" x14ac:dyDescent="0.25"/>
    <row r="890" ht="13.2" x14ac:dyDescent="0.25"/>
    <row r="891" ht="13.2" x14ac:dyDescent="0.25"/>
    <row r="892" ht="13.2" x14ac:dyDescent="0.25"/>
    <row r="893" ht="13.2" x14ac:dyDescent="0.25"/>
    <row r="894" ht="13.2" x14ac:dyDescent="0.25"/>
    <row r="895" ht="13.2" x14ac:dyDescent="0.25"/>
    <row r="896" ht="13.2" x14ac:dyDescent="0.25"/>
    <row r="897" ht="13.2" x14ac:dyDescent="0.25"/>
    <row r="898" ht="13.2" x14ac:dyDescent="0.25"/>
    <row r="899" ht="13.2" x14ac:dyDescent="0.25"/>
    <row r="900" ht="13.2" x14ac:dyDescent="0.25"/>
    <row r="901" ht="13.2" x14ac:dyDescent="0.25"/>
    <row r="902" ht="13.2" x14ac:dyDescent="0.25"/>
    <row r="903" ht="13.2" x14ac:dyDescent="0.25"/>
    <row r="904" ht="13.2" x14ac:dyDescent="0.25"/>
    <row r="905" ht="13.2" x14ac:dyDescent="0.25"/>
    <row r="906" ht="13.2" x14ac:dyDescent="0.25"/>
    <row r="907" ht="13.2" x14ac:dyDescent="0.25"/>
    <row r="908" ht="13.2" x14ac:dyDescent="0.25"/>
    <row r="909" ht="13.2" x14ac:dyDescent="0.25"/>
    <row r="910" ht="13.2" x14ac:dyDescent="0.25"/>
    <row r="911" ht="13.2" x14ac:dyDescent="0.25"/>
    <row r="912" ht="13.2" x14ac:dyDescent="0.25"/>
    <row r="913" ht="13.2" x14ac:dyDescent="0.25"/>
    <row r="914" ht="13.2" x14ac:dyDescent="0.25"/>
    <row r="915" ht="13.2" x14ac:dyDescent="0.25"/>
    <row r="916" ht="13.2" x14ac:dyDescent="0.25"/>
    <row r="917" ht="13.2" x14ac:dyDescent="0.25"/>
    <row r="918" ht="13.2" x14ac:dyDescent="0.25"/>
    <row r="919" ht="13.2" x14ac:dyDescent="0.25"/>
    <row r="920" ht="13.2" x14ac:dyDescent="0.25"/>
    <row r="921" ht="13.2" x14ac:dyDescent="0.25"/>
    <row r="922" ht="13.2" x14ac:dyDescent="0.25"/>
    <row r="923" ht="13.2" x14ac:dyDescent="0.25"/>
    <row r="924" ht="13.2" x14ac:dyDescent="0.25"/>
    <row r="925" ht="13.2" x14ac:dyDescent="0.25"/>
    <row r="926" ht="13.2" x14ac:dyDescent="0.25"/>
    <row r="927" ht="13.2" x14ac:dyDescent="0.25"/>
    <row r="928" ht="13.2" x14ac:dyDescent="0.25"/>
    <row r="929" ht="13.2" x14ac:dyDescent="0.25"/>
    <row r="930" ht="13.2" x14ac:dyDescent="0.25"/>
    <row r="931" ht="13.2" x14ac:dyDescent="0.25"/>
    <row r="932" ht="13.2" x14ac:dyDescent="0.25"/>
    <row r="933" ht="13.2" x14ac:dyDescent="0.25"/>
    <row r="934" ht="13.2" x14ac:dyDescent="0.25"/>
    <row r="935" ht="13.2" x14ac:dyDescent="0.25"/>
    <row r="936" ht="13.2" x14ac:dyDescent="0.25"/>
    <row r="937" ht="13.2" x14ac:dyDescent="0.25"/>
    <row r="938" ht="13.2" x14ac:dyDescent="0.25"/>
    <row r="939" ht="13.2" x14ac:dyDescent="0.25"/>
    <row r="940" ht="13.2" x14ac:dyDescent="0.25"/>
    <row r="941" ht="13.2" x14ac:dyDescent="0.25"/>
    <row r="942" ht="13.2" x14ac:dyDescent="0.25"/>
    <row r="943" ht="13.2" x14ac:dyDescent="0.25"/>
    <row r="944" ht="13.2" x14ac:dyDescent="0.25"/>
    <row r="945" ht="13.2" x14ac:dyDescent="0.25"/>
    <row r="946" ht="13.2" x14ac:dyDescent="0.25"/>
    <row r="947" ht="13.2" x14ac:dyDescent="0.25"/>
    <row r="948" ht="13.2" x14ac:dyDescent="0.25"/>
    <row r="949" ht="13.2" x14ac:dyDescent="0.25"/>
    <row r="950" ht="13.2" x14ac:dyDescent="0.25"/>
    <row r="951" ht="13.2" x14ac:dyDescent="0.25"/>
    <row r="952" ht="13.2" x14ac:dyDescent="0.25"/>
    <row r="953" ht="13.2" x14ac:dyDescent="0.25"/>
    <row r="954" ht="13.2" x14ac:dyDescent="0.25"/>
    <row r="955" ht="13.2" x14ac:dyDescent="0.25"/>
    <row r="956" ht="13.2" x14ac:dyDescent="0.25"/>
    <row r="957" ht="13.2" x14ac:dyDescent="0.25"/>
    <row r="958" ht="13.2" x14ac:dyDescent="0.25"/>
    <row r="959" ht="13.2" x14ac:dyDescent="0.25"/>
    <row r="960" ht="13.2" x14ac:dyDescent="0.25"/>
    <row r="961" ht="13.2" x14ac:dyDescent="0.25"/>
    <row r="962" ht="13.2" x14ac:dyDescent="0.25"/>
    <row r="963" ht="13.2" x14ac:dyDescent="0.25"/>
    <row r="964" ht="13.2" x14ac:dyDescent="0.25"/>
    <row r="965" ht="13.2" x14ac:dyDescent="0.25"/>
    <row r="966" ht="13.2" x14ac:dyDescent="0.25"/>
    <row r="967" ht="13.2" x14ac:dyDescent="0.25"/>
    <row r="968" ht="13.2" x14ac:dyDescent="0.25"/>
    <row r="969" ht="13.2" x14ac:dyDescent="0.25"/>
    <row r="970" ht="13.2" x14ac:dyDescent="0.25"/>
    <row r="971" ht="13.2" x14ac:dyDescent="0.25"/>
    <row r="972" ht="13.2" x14ac:dyDescent="0.25"/>
    <row r="973" ht="13.2" x14ac:dyDescent="0.25"/>
    <row r="974" ht="13.2" x14ac:dyDescent="0.25"/>
    <row r="975" ht="13.2" x14ac:dyDescent="0.25"/>
    <row r="976" ht="13.2" x14ac:dyDescent="0.25"/>
    <row r="977" ht="13.2" x14ac:dyDescent="0.25"/>
    <row r="978" ht="13.2" x14ac:dyDescent="0.25"/>
    <row r="979" ht="13.2" x14ac:dyDescent="0.25"/>
    <row r="980" ht="13.2" x14ac:dyDescent="0.25"/>
    <row r="981" ht="13.2" x14ac:dyDescent="0.25"/>
    <row r="982" ht="13.2" x14ac:dyDescent="0.25"/>
    <row r="983" ht="13.2" x14ac:dyDescent="0.25"/>
    <row r="984" ht="13.2" x14ac:dyDescent="0.25"/>
    <row r="985" ht="13.2" x14ac:dyDescent="0.25"/>
    <row r="986" ht="13.2" x14ac:dyDescent="0.25"/>
    <row r="987" ht="13.2" x14ac:dyDescent="0.25"/>
    <row r="988" ht="13.2" x14ac:dyDescent="0.25"/>
    <row r="989" ht="13.2" x14ac:dyDescent="0.25"/>
    <row r="990" ht="13.2" x14ac:dyDescent="0.25"/>
    <row r="991" ht="13.2" x14ac:dyDescent="0.25"/>
    <row r="992" ht="13.2" x14ac:dyDescent="0.25"/>
    <row r="993" ht="13.2" x14ac:dyDescent="0.25"/>
    <row r="994" ht="13.2" x14ac:dyDescent="0.25"/>
    <row r="995" ht="13.2" x14ac:dyDescent="0.25"/>
    <row r="996" ht="13.2" x14ac:dyDescent="0.25"/>
    <row r="997" ht="13.2" x14ac:dyDescent="0.25"/>
    <row r="998" ht="13.2" x14ac:dyDescent="0.25"/>
    <row r="999" ht="13.2" x14ac:dyDescent="0.25"/>
    <row r="1000" ht="13.2" x14ac:dyDescent="0.25"/>
    <row r="1001" ht="13.2" x14ac:dyDescent="0.25"/>
  </sheetData>
  <mergeCells count="2">
    <mergeCell ref="B1:P1"/>
    <mergeCell ref="B2:P2"/>
  </mergeCells>
  <conditionalFormatting sqref="C7:O7">
    <cfRule type="cellIs" dxfId="0" priority="1" stopIfTrue="1" operator="lessThanOrEqual">
      <formula>$C$4</formula>
    </cfRule>
  </conditionalFormatting>
  <dataValidations count="7">
    <dataValidation type="decimal" operator="lessThanOrEqual" allowBlank="1" showInputMessage="1" showErrorMessage="1" prompt="Enter Cash balance alert minimum in this cell and details in Cash on Hand table starting in cell C6. Cash on hand beginning of month label is in cell B7" sqref="C4" xr:uid="{00000000-0002-0000-0A00-000000000000}">
      <formula1>10000000</formula1>
    </dataValidation>
    <dataValidation type="decimal" allowBlank="1" sqref="D4:P4 C7" xr:uid="{00000000-0002-0000-0A00-000001000000}">
      <formula1>-10000000</formula1>
      <formula2>10000000</formula2>
    </dataValidation>
    <dataValidation type="decimal" allowBlank="1" showErrorMessage="1" sqref="D10:O15 D20:O44 D46:O51 D57:O57 C58:O61 D62:O62" xr:uid="{00000000-0002-0000-0A00-000002000000}">
      <formula1>-10000000</formula1>
      <formula2>10000000</formula2>
    </dataValidation>
    <dataValidation type="date" allowBlank="1" showInputMessage="1" showErrorMessage="1" prompt="Enter Starting Date in this cell" sqref="C3" xr:uid="{00000000-0002-0000-0A00-000003000000}">
      <formula1>1</formula1>
      <formula2>73415</formula2>
    </dataValidation>
    <dataValidation type="decimal" operator="lessThanOrEqual" allowBlank="1" sqref="D7:O7" xr:uid="{00000000-0002-0000-0A00-000004000000}">
      <formula1>10000000</formula1>
    </dataValidation>
    <dataValidation type="decimal" operator="lessThanOrEqual" allowBlank="1" showErrorMessage="1" sqref="C17:O17 C54:O54" xr:uid="{00000000-0002-0000-0A00-000005000000}">
      <formula1>10000000</formula1>
    </dataValidation>
    <dataValidation type="decimal" operator="lessThanOrEqual" allowBlank="1" showInputMessage="1" prompt="Please enter a number greater than zero" sqref="P10:P15 P20:P44 P46:P51 P57:P62" xr:uid="{00000000-0002-0000-0A00-000006000000}">
      <formula1>10000000</formula1>
    </dataValidation>
  </dataValidations>
  <printOptions horizontalCentered="1"/>
  <pageMargins left="0" right="0" top="0.5" bottom="0.2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Z37"/>
  <sheetViews>
    <sheetView workbookViewId="0"/>
  </sheetViews>
  <sheetFormatPr defaultColWidth="12.6640625" defaultRowHeight="15.75" customHeight="1" x14ac:dyDescent="0.25"/>
  <cols>
    <col min="1" max="1" width="29.21875" customWidth="1"/>
    <col min="2" max="13" width="9.44140625" customWidth="1"/>
  </cols>
  <sheetData>
    <row r="1" spans="1:26" x14ac:dyDescent="0.25">
      <c r="A1" s="304" t="s">
        <v>660</v>
      </c>
      <c r="B1" s="305"/>
      <c r="C1" s="305"/>
      <c r="D1" s="305"/>
      <c r="E1" s="305"/>
      <c r="F1" s="305"/>
      <c r="G1" s="305"/>
      <c r="H1" s="305"/>
      <c r="I1" s="305"/>
      <c r="J1" s="306"/>
    </row>
    <row r="2" spans="1:26" ht="15.75" customHeight="1" x14ac:dyDescent="0.3">
      <c r="A2" s="308" t="s">
        <v>661</v>
      </c>
      <c r="B2" s="305"/>
      <c r="C2" s="305"/>
      <c r="D2" s="305"/>
      <c r="E2" s="305"/>
      <c r="F2" s="305"/>
      <c r="G2" s="305"/>
      <c r="H2" s="305"/>
      <c r="I2" s="305"/>
      <c r="J2" s="306"/>
    </row>
    <row r="4" spans="1:26" ht="15.75" customHeight="1" x14ac:dyDescent="0.7">
      <c r="A4" s="79" t="s">
        <v>662</v>
      </c>
      <c r="B4" s="80">
        <v>0</v>
      </c>
      <c r="D4" s="346" t="s">
        <v>663</v>
      </c>
      <c r="E4" s="347"/>
      <c r="F4" s="314"/>
      <c r="G4" s="348" t="s">
        <v>664</v>
      </c>
      <c r="H4" s="297"/>
    </row>
    <row r="5" spans="1:26" ht="15.75" customHeight="1" x14ac:dyDescent="0.7">
      <c r="A5" s="79" t="s">
        <v>665</v>
      </c>
      <c r="B5" s="80">
        <v>0</v>
      </c>
      <c r="D5" s="346" t="s">
        <v>666</v>
      </c>
      <c r="E5" s="347"/>
      <c r="F5" s="314"/>
      <c r="G5" s="293">
        <v>45413</v>
      </c>
    </row>
    <row r="6" spans="1:26" ht="15.75" customHeight="1" x14ac:dyDescent="0.7">
      <c r="A6" s="79" t="s">
        <v>667</v>
      </c>
      <c r="B6" s="80">
        <v>0</v>
      </c>
      <c r="D6" s="346" t="s">
        <v>668</v>
      </c>
      <c r="E6" s="347"/>
      <c r="F6" s="314"/>
      <c r="G6" s="80">
        <v>25000</v>
      </c>
    </row>
    <row r="9" spans="1:26" x14ac:dyDescent="0.25">
      <c r="A9" s="294"/>
      <c r="B9" s="294">
        <f>G5</f>
        <v>45413</v>
      </c>
      <c r="C9" s="294">
        <f t="shared" ref="C9:M9" si="0">EDATE(B9,1)</f>
        <v>45444</v>
      </c>
      <c r="D9" s="294">
        <f t="shared" si="0"/>
        <v>45474</v>
      </c>
      <c r="E9" s="294">
        <f t="shared" si="0"/>
        <v>45505</v>
      </c>
      <c r="F9" s="294">
        <f t="shared" si="0"/>
        <v>45536</v>
      </c>
      <c r="G9" s="294">
        <f t="shared" si="0"/>
        <v>45566</v>
      </c>
      <c r="H9" s="294">
        <f t="shared" si="0"/>
        <v>45597</v>
      </c>
      <c r="I9" s="294">
        <f t="shared" si="0"/>
        <v>45627</v>
      </c>
      <c r="J9" s="294">
        <f t="shared" si="0"/>
        <v>45658</v>
      </c>
      <c r="K9" s="294">
        <f t="shared" si="0"/>
        <v>45689</v>
      </c>
      <c r="L9" s="294">
        <f t="shared" si="0"/>
        <v>45717</v>
      </c>
      <c r="M9" s="294">
        <f t="shared" si="0"/>
        <v>45748</v>
      </c>
      <c r="N9" s="294"/>
      <c r="O9" s="294"/>
      <c r="P9" s="294"/>
      <c r="Q9" s="294"/>
      <c r="R9" s="294"/>
      <c r="S9" s="294"/>
      <c r="T9" s="294"/>
      <c r="U9" s="294"/>
      <c r="V9" s="294"/>
      <c r="W9" s="294"/>
      <c r="X9" s="294"/>
      <c r="Y9" s="294"/>
      <c r="Z9" s="294"/>
    </row>
    <row r="10" spans="1:26" x14ac:dyDescent="0.25">
      <c r="A10" s="295" t="s">
        <v>669</v>
      </c>
      <c r="B10" s="295">
        <f>B4+G6</f>
        <v>25000</v>
      </c>
      <c r="C10" s="295">
        <f t="shared" ref="C10:M10" si="1">B16</f>
        <v>5000</v>
      </c>
      <c r="D10" s="295">
        <f t="shared" si="1"/>
        <v>15000</v>
      </c>
      <c r="E10" s="295">
        <f t="shared" si="1"/>
        <v>25000</v>
      </c>
      <c r="F10" s="295">
        <f t="shared" si="1"/>
        <v>35000</v>
      </c>
      <c r="G10" s="295">
        <f t="shared" si="1"/>
        <v>45000</v>
      </c>
      <c r="H10" s="295">
        <f t="shared" si="1"/>
        <v>55000</v>
      </c>
      <c r="I10" s="295">
        <f t="shared" si="1"/>
        <v>65000</v>
      </c>
      <c r="J10" s="295">
        <f t="shared" si="1"/>
        <v>75000</v>
      </c>
      <c r="K10" s="295">
        <f t="shared" si="1"/>
        <v>85000</v>
      </c>
      <c r="L10" s="295">
        <f t="shared" si="1"/>
        <v>95000</v>
      </c>
      <c r="M10" s="295">
        <f t="shared" si="1"/>
        <v>105000</v>
      </c>
      <c r="N10" s="295"/>
      <c r="O10" s="295"/>
      <c r="P10" s="295"/>
      <c r="Q10" s="295"/>
      <c r="R10" s="295"/>
      <c r="S10" s="295"/>
      <c r="T10" s="295"/>
      <c r="U10" s="295"/>
      <c r="V10" s="295"/>
      <c r="W10" s="295"/>
      <c r="X10" s="295"/>
      <c r="Y10" s="295"/>
      <c r="Z10" s="295"/>
    </row>
    <row r="11" spans="1:26" ht="15.75" customHeight="1" x14ac:dyDescent="0.7">
      <c r="A11" s="295" t="s">
        <v>670</v>
      </c>
      <c r="B11" s="80">
        <v>20000</v>
      </c>
      <c r="C11" s="80">
        <v>20000</v>
      </c>
      <c r="D11" s="80">
        <v>20000</v>
      </c>
      <c r="E11" s="80">
        <v>20000</v>
      </c>
      <c r="F11" s="80">
        <v>20000</v>
      </c>
      <c r="G11" s="80">
        <v>20000</v>
      </c>
      <c r="H11" s="80">
        <v>20000</v>
      </c>
      <c r="I11" s="80">
        <v>20000</v>
      </c>
      <c r="J11" s="80">
        <v>20000</v>
      </c>
      <c r="K11" s="80">
        <v>20000</v>
      </c>
      <c r="L11" s="80">
        <v>20000</v>
      </c>
      <c r="M11" s="80">
        <v>20000</v>
      </c>
      <c r="N11" s="295"/>
      <c r="O11" s="295"/>
      <c r="P11" s="295"/>
      <c r="Q11" s="295"/>
      <c r="R11" s="295"/>
      <c r="S11" s="295"/>
      <c r="T11" s="295"/>
      <c r="U11" s="295"/>
      <c r="V11" s="295"/>
      <c r="W11" s="295"/>
      <c r="X11" s="295"/>
      <c r="Y11" s="295"/>
      <c r="Z11" s="295"/>
    </row>
    <row r="12" spans="1:26" ht="15.75" customHeight="1" x14ac:dyDescent="0.7">
      <c r="A12" s="295" t="s">
        <v>671</v>
      </c>
      <c r="B12" s="80">
        <v>30000</v>
      </c>
      <c r="C12" s="80">
        <v>30000</v>
      </c>
      <c r="D12" s="80">
        <v>30000</v>
      </c>
      <c r="E12" s="80">
        <v>30000</v>
      </c>
      <c r="F12" s="80">
        <v>30000</v>
      </c>
      <c r="G12" s="80">
        <v>30000</v>
      </c>
      <c r="H12" s="80">
        <v>30000</v>
      </c>
      <c r="I12" s="80">
        <v>30000</v>
      </c>
      <c r="J12" s="80">
        <v>30000</v>
      </c>
      <c r="K12" s="80">
        <v>30000</v>
      </c>
      <c r="L12" s="80">
        <v>30000</v>
      </c>
      <c r="M12" s="80">
        <v>30000</v>
      </c>
      <c r="N12" s="295"/>
      <c r="O12" s="295"/>
      <c r="P12" s="295"/>
      <c r="Q12" s="295"/>
      <c r="R12" s="295"/>
      <c r="S12" s="295"/>
      <c r="T12" s="295"/>
      <c r="U12" s="295"/>
      <c r="V12" s="295"/>
      <c r="W12" s="295"/>
      <c r="X12" s="295"/>
      <c r="Y12" s="295"/>
      <c r="Z12" s="295"/>
    </row>
    <row r="13" spans="1:26" x14ac:dyDescent="0.25">
      <c r="A13" s="295" t="s">
        <v>672</v>
      </c>
      <c r="B13" s="295">
        <f t="shared" ref="B13:M13" si="2">SUM(B21:B32)</f>
        <v>0</v>
      </c>
      <c r="C13" s="295">
        <f t="shared" si="2"/>
        <v>30000</v>
      </c>
      <c r="D13" s="295">
        <f t="shared" si="2"/>
        <v>30000</v>
      </c>
      <c r="E13" s="295">
        <f t="shared" si="2"/>
        <v>30000</v>
      </c>
      <c r="F13" s="295">
        <f t="shared" si="2"/>
        <v>30000</v>
      </c>
      <c r="G13" s="295">
        <f t="shared" si="2"/>
        <v>30000</v>
      </c>
      <c r="H13" s="295">
        <f t="shared" si="2"/>
        <v>30000</v>
      </c>
      <c r="I13" s="295">
        <f t="shared" si="2"/>
        <v>30000</v>
      </c>
      <c r="J13" s="295">
        <f t="shared" si="2"/>
        <v>30000</v>
      </c>
      <c r="K13" s="295">
        <f t="shared" si="2"/>
        <v>30000</v>
      </c>
      <c r="L13" s="295">
        <f t="shared" si="2"/>
        <v>30000</v>
      </c>
      <c r="M13" s="295">
        <f t="shared" si="2"/>
        <v>30000</v>
      </c>
      <c r="N13" s="295"/>
      <c r="O13" s="295"/>
      <c r="P13" s="295"/>
      <c r="Q13" s="295"/>
      <c r="R13" s="295"/>
      <c r="S13" s="295"/>
      <c r="T13" s="295"/>
      <c r="U13" s="295"/>
      <c r="V13" s="295"/>
      <c r="W13" s="295"/>
      <c r="X13" s="295"/>
      <c r="Y13" s="295"/>
      <c r="Z13" s="295"/>
    </row>
    <row r="14" spans="1:26" x14ac:dyDescent="0.25">
      <c r="A14" s="295" t="s">
        <v>673</v>
      </c>
      <c r="B14" s="295">
        <f>IF(G4="Cash",B5,0)</f>
        <v>0</v>
      </c>
      <c r="C14" s="295">
        <f>IF(G4="Net 30",B5,0)</f>
        <v>0</v>
      </c>
      <c r="D14" s="295">
        <f>IF(G4="Net 60",B5,0)</f>
        <v>0</v>
      </c>
      <c r="E14" s="295">
        <v>0</v>
      </c>
      <c r="F14" s="295">
        <v>0</v>
      </c>
      <c r="G14" s="295">
        <v>0</v>
      </c>
      <c r="H14" s="295">
        <v>0</v>
      </c>
      <c r="I14" s="295">
        <v>0</v>
      </c>
      <c r="J14" s="295">
        <v>0</v>
      </c>
      <c r="K14" s="295">
        <v>0</v>
      </c>
      <c r="L14" s="295">
        <v>0</v>
      </c>
      <c r="M14" s="295">
        <v>0</v>
      </c>
      <c r="N14" s="295"/>
      <c r="O14" s="295"/>
      <c r="P14" s="295"/>
      <c r="Q14" s="295"/>
      <c r="R14" s="295"/>
      <c r="S14" s="295"/>
      <c r="T14" s="295"/>
      <c r="U14" s="295"/>
      <c r="V14" s="295"/>
      <c r="W14" s="295"/>
      <c r="X14" s="295"/>
      <c r="Y14" s="295"/>
      <c r="Z14" s="295"/>
    </row>
    <row r="15" spans="1:26" x14ac:dyDescent="0.25">
      <c r="A15" s="295" t="s">
        <v>674</v>
      </c>
      <c r="B15" s="295">
        <f>B6</f>
        <v>0</v>
      </c>
      <c r="C15" s="295">
        <v>0</v>
      </c>
      <c r="D15" s="295">
        <v>0</v>
      </c>
      <c r="E15" s="295">
        <v>0</v>
      </c>
      <c r="F15" s="295">
        <v>0</v>
      </c>
      <c r="G15" s="295">
        <v>0</v>
      </c>
      <c r="H15" s="295">
        <v>0</v>
      </c>
      <c r="I15" s="295">
        <v>0</v>
      </c>
      <c r="J15" s="295">
        <v>0</v>
      </c>
      <c r="K15" s="295">
        <v>0</v>
      </c>
      <c r="L15" s="295">
        <v>0</v>
      </c>
      <c r="M15" s="295">
        <v>0</v>
      </c>
      <c r="N15" s="295"/>
      <c r="O15" s="295"/>
      <c r="P15" s="295"/>
      <c r="Q15" s="295"/>
      <c r="R15" s="295"/>
      <c r="S15" s="295"/>
      <c r="T15" s="295"/>
      <c r="U15" s="295"/>
      <c r="V15" s="295"/>
      <c r="W15" s="295"/>
      <c r="X15" s="295"/>
      <c r="Y15" s="295"/>
      <c r="Z15" s="295"/>
    </row>
    <row r="16" spans="1:26" x14ac:dyDescent="0.25">
      <c r="A16" s="295" t="s">
        <v>675</v>
      </c>
      <c r="B16" s="295">
        <f t="shared" ref="B16:M16" si="3">B10-B11+B13+B14-B15</f>
        <v>5000</v>
      </c>
      <c r="C16" s="295">
        <f t="shared" si="3"/>
        <v>15000</v>
      </c>
      <c r="D16" s="295">
        <f t="shared" si="3"/>
        <v>25000</v>
      </c>
      <c r="E16" s="295">
        <f t="shared" si="3"/>
        <v>35000</v>
      </c>
      <c r="F16" s="295">
        <f t="shared" si="3"/>
        <v>45000</v>
      </c>
      <c r="G16" s="295">
        <f t="shared" si="3"/>
        <v>55000</v>
      </c>
      <c r="H16" s="295">
        <f t="shared" si="3"/>
        <v>65000</v>
      </c>
      <c r="I16" s="295">
        <f t="shared" si="3"/>
        <v>75000</v>
      </c>
      <c r="J16" s="295">
        <f t="shared" si="3"/>
        <v>85000</v>
      </c>
      <c r="K16" s="295">
        <f t="shared" si="3"/>
        <v>95000</v>
      </c>
      <c r="L16" s="295">
        <f t="shared" si="3"/>
        <v>105000</v>
      </c>
      <c r="M16" s="295">
        <f t="shared" si="3"/>
        <v>115000</v>
      </c>
      <c r="N16" s="295"/>
      <c r="O16" s="295"/>
      <c r="P16" s="295"/>
      <c r="Q16" s="295"/>
      <c r="R16" s="295"/>
      <c r="S16" s="295"/>
      <c r="T16" s="295"/>
      <c r="U16" s="295"/>
      <c r="V16" s="295"/>
      <c r="W16" s="295"/>
      <c r="X16" s="295"/>
      <c r="Y16" s="295"/>
      <c r="Z16" s="295"/>
    </row>
    <row r="20" spans="1:14" x14ac:dyDescent="0.25">
      <c r="A20" s="32" t="s">
        <v>676</v>
      </c>
      <c r="B20" s="32" t="s">
        <v>677</v>
      </c>
      <c r="N20" s="32" t="s">
        <v>650</v>
      </c>
    </row>
    <row r="21" spans="1:14" x14ac:dyDescent="0.25">
      <c r="A21" s="294">
        <f>B9</f>
        <v>45413</v>
      </c>
      <c r="B21" s="32">
        <f>IF($G$4="Cash",B$12,0)</f>
        <v>0</v>
      </c>
      <c r="C21" s="295">
        <f>IF($G$4="Net 30",B$12,0)</f>
        <v>30000</v>
      </c>
      <c r="D21" s="32">
        <f>IF($G$4="Net 60",B$12,0)</f>
        <v>0</v>
      </c>
      <c r="N21" s="295">
        <f t="shared" ref="N21:N32" si="4">SUM(B21:M21)</f>
        <v>30000</v>
      </c>
    </row>
    <row r="22" spans="1:14" x14ac:dyDescent="0.25">
      <c r="A22" s="294">
        <f>C9</f>
        <v>45444</v>
      </c>
      <c r="C22" s="32">
        <f>IF($G$4="Cash",C$12,0)</f>
        <v>0</v>
      </c>
      <c r="D22" s="295">
        <f>IF($G$4="Net 30",C$12,0)</f>
        <v>30000</v>
      </c>
      <c r="E22" s="32">
        <f>IF($G$4="Net 60",C$12,0)</f>
        <v>0</v>
      </c>
      <c r="N22" s="295">
        <f t="shared" si="4"/>
        <v>30000</v>
      </c>
    </row>
    <row r="23" spans="1:14" x14ac:dyDescent="0.25">
      <c r="A23" s="294">
        <f>D9</f>
        <v>45474</v>
      </c>
      <c r="D23" s="32">
        <f>IF($G$4="Cash",D$12,0)</f>
        <v>0</v>
      </c>
      <c r="E23" s="295">
        <f>IF($G$4="Net 30",D$12,0)</f>
        <v>30000</v>
      </c>
      <c r="F23" s="32">
        <f>IF($G$4="Net 60",D$12,0)</f>
        <v>0</v>
      </c>
      <c r="N23" s="295">
        <f t="shared" si="4"/>
        <v>30000</v>
      </c>
    </row>
    <row r="24" spans="1:14" x14ac:dyDescent="0.25">
      <c r="A24" s="294">
        <f>E9</f>
        <v>45505</v>
      </c>
      <c r="E24" s="32">
        <f>IF($G$4="Cash",E$12,0)</f>
        <v>0</v>
      </c>
      <c r="F24" s="295">
        <f>IF($G$4="Net 30",E$12,0)</f>
        <v>30000</v>
      </c>
      <c r="G24" s="32">
        <f>IF($G$4="Net 60",E$12,0)</f>
        <v>0</v>
      </c>
      <c r="N24" s="295">
        <f t="shared" si="4"/>
        <v>30000</v>
      </c>
    </row>
    <row r="25" spans="1:14" x14ac:dyDescent="0.25">
      <c r="A25" s="294">
        <f>F9</f>
        <v>45536</v>
      </c>
      <c r="F25" s="32">
        <f>IF($G$4="Cash",F$12,0)</f>
        <v>0</v>
      </c>
      <c r="G25" s="295">
        <f>IF($G$4="Net 30",F$12,0)</f>
        <v>30000</v>
      </c>
      <c r="H25" s="32">
        <f>IF($G$4="Net 60",F$12,0)</f>
        <v>0</v>
      </c>
      <c r="N25" s="295">
        <f t="shared" si="4"/>
        <v>30000</v>
      </c>
    </row>
    <row r="26" spans="1:14" x14ac:dyDescent="0.25">
      <c r="A26" s="294">
        <f>G9</f>
        <v>45566</v>
      </c>
      <c r="G26" s="32">
        <f>IF($G$4="Cash",G$12,0)</f>
        <v>0</v>
      </c>
      <c r="H26" s="295">
        <f>IF($G$4="Net 30",G$12,0)</f>
        <v>30000</v>
      </c>
      <c r="I26" s="32">
        <f>IF($G$4="Net 60",G$12,0)</f>
        <v>0</v>
      </c>
      <c r="N26" s="295">
        <f t="shared" si="4"/>
        <v>30000</v>
      </c>
    </row>
    <row r="27" spans="1:14" x14ac:dyDescent="0.25">
      <c r="A27" s="294">
        <f>H9</f>
        <v>45597</v>
      </c>
      <c r="H27" s="32">
        <f>IF($G$4="Cash",H$12,0)</f>
        <v>0</v>
      </c>
      <c r="I27" s="295">
        <f>IF($G$4="Net 30",H$12,0)</f>
        <v>30000</v>
      </c>
      <c r="J27" s="32">
        <f>IF($G$4="Net 60",H$12,0)</f>
        <v>0</v>
      </c>
      <c r="N27" s="295">
        <f t="shared" si="4"/>
        <v>30000</v>
      </c>
    </row>
    <row r="28" spans="1:14" x14ac:dyDescent="0.25">
      <c r="A28" s="294">
        <f>I9</f>
        <v>45627</v>
      </c>
      <c r="I28" s="32">
        <f>IF($G$4="Cash",I$12,0)</f>
        <v>0</v>
      </c>
      <c r="J28" s="295">
        <f>IF($G$4="Net 30",I$12,0)</f>
        <v>30000</v>
      </c>
      <c r="K28" s="32">
        <f>IF($G$4="Net 60",I$12,0)</f>
        <v>0</v>
      </c>
      <c r="N28" s="295">
        <f t="shared" si="4"/>
        <v>30000</v>
      </c>
    </row>
    <row r="29" spans="1:14" x14ac:dyDescent="0.25">
      <c r="A29" s="294">
        <f>J9</f>
        <v>45658</v>
      </c>
      <c r="J29" s="32">
        <f>IF($G$4="Cash",J$12,0)</f>
        <v>0</v>
      </c>
      <c r="K29" s="295">
        <f>IF($G$4="Net 30",J$12,0)</f>
        <v>30000</v>
      </c>
      <c r="L29" s="32">
        <f>IF($G$4="Net 60",J$12,0)</f>
        <v>0</v>
      </c>
      <c r="N29" s="295">
        <f t="shared" si="4"/>
        <v>30000</v>
      </c>
    </row>
    <row r="30" spans="1:14" x14ac:dyDescent="0.25">
      <c r="A30" s="294">
        <f>K9</f>
        <v>45689</v>
      </c>
      <c r="K30" s="32">
        <f>IF($G$4="Cash",K$12,0)</f>
        <v>0</v>
      </c>
      <c r="L30" s="295">
        <f>IF($G$4="Net 30",K$12,0)</f>
        <v>30000</v>
      </c>
      <c r="M30" s="32">
        <f>IF($G$4="Net 60",K$12,0)</f>
        <v>0</v>
      </c>
      <c r="N30" s="295">
        <f t="shared" si="4"/>
        <v>30000</v>
      </c>
    </row>
    <row r="31" spans="1:14" x14ac:dyDescent="0.25">
      <c r="A31" s="294">
        <f>L9</f>
        <v>45717</v>
      </c>
      <c r="L31" s="32">
        <f>IF($G$4="Cash",L$12,0)</f>
        <v>0</v>
      </c>
      <c r="M31" s="295">
        <f>IF($G$4="Net 30",L$12,0)</f>
        <v>30000</v>
      </c>
      <c r="N31" s="295">
        <f t="shared" si="4"/>
        <v>30000</v>
      </c>
    </row>
    <row r="32" spans="1:14" x14ac:dyDescent="0.25">
      <c r="A32" s="294">
        <f>M9</f>
        <v>45748</v>
      </c>
      <c r="M32" s="32">
        <f>IF($G$4="Cash",M$12,0)</f>
        <v>0</v>
      </c>
      <c r="N32" s="295">
        <f t="shared" si="4"/>
        <v>0</v>
      </c>
    </row>
    <row r="35" spans="1:1" ht="13.2" x14ac:dyDescent="0.25">
      <c r="A35" s="32">
        <f>B23</f>
        <v>0</v>
      </c>
    </row>
    <row r="36" spans="1:1" ht="13.2" x14ac:dyDescent="0.25">
      <c r="A36" s="32">
        <f>C23</f>
        <v>0</v>
      </c>
    </row>
    <row r="37" spans="1:1" ht="13.2" x14ac:dyDescent="0.25">
      <c r="A37" s="32">
        <f>B25</f>
        <v>0</v>
      </c>
    </row>
  </sheetData>
  <mergeCells count="6">
    <mergeCell ref="D6:F6"/>
    <mergeCell ref="A1:J1"/>
    <mergeCell ref="A2:J2"/>
    <mergeCell ref="D4:F4"/>
    <mergeCell ref="G4:H4"/>
    <mergeCell ref="D5:F5"/>
  </mergeCells>
  <dataValidations count="2">
    <dataValidation type="list" allowBlank="1" showErrorMessage="1" sqref="G4" xr:uid="{00000000-0002-0000-0B00-000000000000}">
      <formula1>"Cash,Net 30,Net 60"</formula1>
    </dataValidation>
    <dataValidation type="custom" allowBlank="1" showDropDown="1" showErrorMessage="1" sqref="G5" xr:uid="{00000000-0002-0000-0B00-000001000000}">
      <formula1>OR(NOT(ISERROR(DATEVALUE(G5))), AND(ISNUMBER(G5), LEFT(CELL("format", G5))="D"))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4</vt:i4>
      </vt:variant>
    </vt:vector>
  </HeadingPairs>
  <TitlesOfParts>
    <vt:vector size="16" baseType="lpstr">
      <vt:lpstr>INSTRUCTIONS</vt:lpstr>
      <vt:lpstr>Step 1 Deal Box</vt:lpstr>
      <vt:lpstr>Step 2 SDE Calculation</vt:lpstr>
      <vt:lpstr>Step 3 Deal Calculator</vt:lpstr>
      <vt:lpstr>Step 4 Offer Checklist</vt:lpstr>
      <vt:lpstr>Step 5 Due Diligence Checklist</vt:lpstr>
      <vt:lpstr>Step 6 Contrarian Value Markers</vt:lpstr>
      <vt:lpstr>Step 7 Closing Checklist</vt:lpstr>
      <vt:lpstr>Step 8 Day 0 Checklist</vt:lpstr>
      <vt:lpstr>BONUS Cashflow Tracker (Weekly)</vt:lpstr>
      <vt:lpstr>BONUS Cashflow Tracker (Monthly</vt:lpstr>
      <vt:lpstr>BONUS Working Capital Needs</vt:lpstr>
      <vt:lpstr>'BONUS Cashflow Tracker (Monthly'!Cash_beginning</vt:lpstr>
      <vt:lpstr>'BONUS Cashflow Tracker (Monthly'!Cash_minimum</vt:lpstr>
      <vt:lpstr>'BONUS Cashflow Tracker (Monthly'!Company_name</vt:lpstr>
      <vt:lpstr>'BONUS Cashflow Tracker (Monthly'!Start_date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 Smith</dc:creator>
  <cp:lastModifiedBy>Matt Smith</cp:lastModifiedBy>
  <dcterms:created xsi:type="dcterms:W3CDTF">2026-05-12T04:55:08Z</dcterms:created>
  <dcterms:modified xsi:type="dcterms:W3CDTF">2026-05-12T04:55:08Z</dcterms:modified>
</cp:coreProperties>
</file>