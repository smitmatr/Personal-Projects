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r\OneDrive\Desktop\Contrarian Thinking\Wintergreen LLC\"/>
    </mc:Choice>
  </mc:AlternateContent>
  <xr:revisionPtr revIDLastSave="0" documentId="13_ncr:1_{464B922E-792C-45AD-A4D0-5CA31E02A70C}" xr6:coauthVersionLast="47" xr6:coauthVersionMax="47" xr10:uidLastSave="{00000000-0000-0000-0000-000000000000}"/>
  <bookViews>
    <workbookView xWindow="-108" yWindow="-108" windowWidth="23256" windowHeight="12456" xr2:uid="{4E0AFFEB-511C-42B0-853A-C4BDFDCC5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D37" i="1"/>
  <c r="D38" i="1" s="1"/>
  <c r="E37" i="1"/>
  <c r="F37" i="1"/>
  <c r="G37" i="1"/>
  <c r="B37" i="1"/>
  <c r="M5" i="1"/>
  <c r="M6" i="1"/>
  <c r="N6" i="1" s="1"/>
  <c r="M7" i="1"/>
  <c r="N7" i="1" s="1"/>
  <c r="C38" i="1"/>
  <c r="E38" i="1"/>
  <c r="F38" i="1"/>
  <c r="G38" i="1"/>
  <c r="B38" i="1"/>
  <c r="C34" i="1"/>
  <c r="D34" i="1"/>
  <c r="E34" i="1"/>
  <c r="B34" i="1"/>
  <c r="G19" i="1"/>
  <c r="G20" i="1"/>
  <c r="F32" i="1"/>
  <c r="G32" i="1" s="1"/>
  <c r="F33" i="1"/>
  <c r="G33" i="1" s="1"/>
  <c r="F18" i="1"/>
  <c r="G18" i="1" s="1"/>
  <c r="F19" i="1"/>
  <c r="F20" i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17" i="1"/>
  <c r="F13" i="1"/>
  <c r="G13" i="1" s="1"/>
  <c r="F10" i="1"/>
  <c r="G10" i="1" s="1"/>
  <c r="F11" i="1"/>
  <c r="G11" i="1" s="1"/>
  <c r="F12" i="1"/>
  <c r="G12" i="1" s="1"/>
  <c r="F9" i="1"/>
  <c r="G9" i="1" s="1"/>
  <c r="F6" i="1"/>
  <c r="G6" i="1" s="1"/>
  <c r="F5" i="1"/>
  <c r="G5" i="1" s="1"/>
  <c r="F4" i="1"/>
  <c r="G4" i="1" s="1"/>
  <c r="C7" i="1"/>
  <c r="D7" i="1"/>
  <c r="E7" i="1"/>
  <c r="B7" i="1"/>
  <c r="N5" i="1" l="1"/>
  <c r="N8" i="1" s="1"/>
  <c r="M8" i="1"/>
  <c r="F34" i="1"/>
  <c r="G17" i="1"/>
  <c r="G34" i="1" s="1"/>
  <c r="C8" i="1"/>
  <c r="C14" i="1"/>
  <c r="C35" i="1" s="1"/>
  <c r="D8" i="1"/>
  <c r="D14" i="1"/>
  <c r="D35" i="1" s="1"/>
  <c r="E8" i="1"/>
  <c r="E14" i="1"/>
  <c r="E35" i="1" s="1"/>
  <c r="B8" i="1"/>
  <c r="B14" i="1"/>
  <c r="B35" i="1" s="1"/>
  <c r="F7" i="1"/>
  <c r="F14" i="1" s="1"/>
  <c r="F35" i="1" s="1"/>
  <c r="C15" i="1" l="1"/>
  <c r="C36" i="1"/>
  <c r="D15" i="1"/>
  <c r="D36" i="1"/>
  <c r="E15" i="1"/>
  <c r="E36" i="1"/>
  <c r="B15" i="1"/>
  <c r="B36" i="1"/>
  <c r="F15" i="1"/>
  <c r="F36" i="1"/>
  <c r="F8" i="1"/>
  <c r="G7" i="1"/>
  <c r="G14" i="1" l="1"/>
  <c r="G35" i="1" s="1"/>
  <c r="G8" i="1"/>
  <c r="G15" i="1" l="1"/>
  <c r="G36" i="1"/>
</calcChain>
</file>

<file path=xl/sharedStrings.xml><?xml version="1.0" encoding="utf-8"?>
<sst xmlns="http://schemas.openxmlformats.org/spreadsheetml/2006/main" count="49" uniqueCount="47">
  <si>
    <t>Sales / Revenue</t>
  </si>
  <si>
    <t>Cost of Goods Sold</t>
  </si>
  <si>
    <t>Operating Expenses</t>
  </si>
  <si>
    <t>Net Income</t>
  </si>
  <si>
    <t>Net Income Margin (%)</t>
  </si>
  <si>
    <t>2026 Full Year</t>
  </si>
  <si>
    <t>Weighted Average</t>
  </si>
  <si>
    <t>Depreciation and Amortization</t>
  </si>
  <si>
    <t>Interest on Loans to Business</t>
  </si>
  <si>
    <t>Corprate/LLC Taxes</t>
  </si>
  <si>
    <t>Salary for 1 Owner</t>
  </si>
  <si>
    <t>Payroll Taxes on Owners Salary</t>
  </si>
  <si>
    <t>Basic SDE</t>
  </si>
  <si>
    <t>Basic SDE Margin</t>
  </si>
  <si>
    <t>Addbacks</t>
  </si>
  <si>
    <t>Operator Compensation</t>
  </si>
  <si>
    <t>Salaries for Non-Working Family Members</t>
  </si>
  <si>
    <t>Salary adjustments for other owners/family members</t>
  </si>
  <si>
    <t>Payroll Tax additions/deletions for non-working famly and salary adjustments above</t>
  </si>
  <si>
    <t>Auto Lease/Payments for Owners Benefit</t>
  </si>
  <si>
    <t>Auto Insurance for Owners Benefit</t>
  </si>
  <si>
    <t>Auto Repairs &amp; Maintenance for Owners Benefit</t>
  </si>
  <si>
    <t>Contributions and Donations</t>
  </si>
  <si>
    <t>Fair Market Rent Adjustments</t>
  </si>
  <si>
    <t>Insurance Premiums for Owners Health, Life etc</t>
  </si>
  <si>
    <t>Non-Business Professional Services</t>
  </si>
  <si>
    <t>Non-Business Travel &amp; Entertainment</t>
  </si>
  <si>
    <t>Non-Business Telephone, Internet and Cell Phone Expenses</t>
  </si>
  <si>
    <t>Maintenance CapEx</t>
  </si>
  <si>
    <t>One Time Non-Recurring Charges or (income)</t>
  </si>
  <si>
    <t>COS - Construction Nancy Lake</t>
  </si>
  <si>
    <t>All Other Personal Expenses Provided</t>
  </si>
  <si>
    <t>Total SDE</t>
  </si>
  <si>
    <t>SDE Margin</t>
  </si>
  <si>
    <t>Year</t>
  </si>
  <si>
    <t>Net Cash Flow</t>
  </si>
  <si>
    <t>Sum Addbacks</t>
  </si>
  <si>
    <t>Total Debt Service</t>
  </si>
  <si>
    <t>SBA 7(a)</t>
  </si>
  <si>
    <t>Type</t>
  </si>
  <si>
    <t>Amount</t>
  </si>
  <si>
    <t>Interest Rate</t>
  </si>
  <si>
    <t>Years</t>
  </si>
  <si>
    <t>Seller Note</t>
  </si>
  <si>
    <t>HELCO</t>
  </si>
  <si>
    <t>Monthly Payment</t>
  </si>
  <si>
    <t>Yearly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</si>
</sst>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65" fontId="0" fillId="0" borderId="0" xfId="1" applyNumberFormat="1" applyFont="1"/>
    <xf numFmtId="9" fontId="0" fillId="0" borderId="0" xfId="2" applyFont="1"/>
    <xf numFmtId="0" fontId="0" fillId="0" borderId="1" xfId="0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0" fillId="0" borderId="4" xfId="0" applyBorder="1"/>
    <xf numFmtId="166" fontId="0" fillId="0" borderId="5" xfId="2" applyNumberFormat="1" applyFont="1" applyBorder="1"/>
    <xf numFmtId="166" fontId="0" fillId="0" borderId="6" xfId="2" applyNumberFormat="1" applyFont="1" applyBorder="1"/>
    <xf numFmtId="0" fontId="0" fillId="0" borderId="0" xfId="0" applyFill="1" applyBorder="1"/>
    <xf numFmtId="165" fontId="0" fillId="0" borderId="0" xfId="1" applyNumberFormat="1" applyFont="1" applyFill="1" applyBorder="1"/>
    <xf numFmtId="44" fontId="0" fillId="0" borderId="0" xfId="0" applyNumberFormat="1"/>
    <xf numFmtId="0" fontId="0" fillId="0" borderId="1" xfId="0" applyFill="1" applyBorder="1"/>
    <xf numFmtId="165" fontId="0" fillId="0" borderId="2" xfId="0" applyNumberFormat="1" applyBorder="1"/>
    <xf numFmtId="165" fontId="0" fillId="0" borderId="3" xfId="0" applyNumberFormat="1" applyBorder="1"/>
    <xf numFmtId="0" fontId="0" fillId="0" borderId="4" xfId="0" applyFill="1" applyBorder="1"/>
    <xf numFmtId="9" fontId="0" fillId="0" borderId="5" xfId="2" applyFont="1" applyBorder="1"/>
    <xf numFmtId="9" fontId="0" fillId="0" borderId="6" xfId="2" applyFont="1" applyBorder="1"/>
    <xf numFmtId="0" fontId="0" fillId="0" borderId="7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ill="1" applyBorder="1"/>
    <xf numFmtId="0" fontId="0" fillId="0" borderId="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9" fontId="0" fillId="0" borderId="0" xfId="2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165" fontId="0" fillId="0" borderId="8" xfId="0" applyNumberFormat="1" applyBorder="1"/>
    <xf numFmtId="6" fontId="0" fillId="0" borderId="0" xfId="0" applyNumberFormat="1"/>
    <xf numFmtId="6" fontId="0" fillId="0" borderId="5" xfId="2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A85D-72BC-46A8-B104-69894F668138}">
  <dimension ref="A1:N38"/>
  <sheetViews>
    <sheetView tabSelected="1" workbookViewId="0">
      <pane ySplit="3" topLeftCell="A4" activePane="bottomLeft" state="frozenSplit"/>
      <selection pane="bottomLeft" activeCell="I35" sqref="I35"/>
    </sheetView>
  </sheetViews>
  <sheetFormatPr defaultRowHeight="14.4" x14ac:dyDescent="0.3"/>
  <cols>
    <col min="1" max="1" width="67.88671875" bestFit="1" customWidth="1"/>
    <col min="2" max="4" width="13.88671875" bestFit="1" customWidth="1"/>
    <col min="5" max="5" width="12.21875" bestFit="1" customWidth="1"/>
    <col min="6" max="6" width="13.88671875" bestFit="1" customWidth="1"/>
    <col min="7" max="7" width="15.88671875" bestFit="1" customWidth="1"/>
    <col min="9" max="9" width="15.33203125" bestFit="1" customWidth="1"/>
    <col min="13" max="13" width="14.88671875" bestFit="1" customWidth="1"/>
    <col min="14" max="14" width="13.33203125" bestFit="1" customWidth="1"/>
  </cols>
  <sheetData>
    <row r="1" spans="1:14" x14ac:dyDescent="0.3">
      <c r="A1" s="3" t="s">
        <v>34</v>
      </c>
      <c r="B1" s="27">
        <v>2023</v>
      </c>
      <c r="C1" s="27">
        <v>2024</v>
      </c>
      <c r="D1" s="27">
        <v>2025</v>
      </c>
      <c r="E1" s="27">
        <v>2026</v>
      </c>
      <c r="F1" s="27" t="s">
        <v>5</v>
      </c>
      <c r="G1" s="28" t="s">
        <v>6</v>
      </c>
    </row>
    <row r="2" spans="1:14" x14ac:dyDescent="0.3">
      <c r="A2" s="29" t="s">
        <v>6</v>
      </c>
      <c r="B2" s="23"/>
      <c r="C2" s="30">
        <v>0.2</v>
      </c>
      <c r="D2" s="30">
        <v>0.3</v>
      </c>
      <c r="E2" s="30">
        <v>0.5</v>
      </c>
      <c r="F2" s="23"/>
      <c r="G2" s="24"/>
    </row>
    <row r="3" spans="1:14" ht="15" thickBot="1" x14ac:dyDescent="0.35">
      <c r="A3" s="6"/>
      <c r="B3" s="25"/>
      <c r="C3" s="25"/>
      <c r="D3" s="25"/>
      <c r="E3" s="25">
        <v>6</v>
      </c>
      <c r="F3" s="25"/>
      <c r="G3" s="26"/>
    </row>
    <row r="4" spans="1:14" x14ac:dyDescent="0.3">
      <c r="A4" t="s">
        <v>0</v>
      </c>
      <c r="B4" s="1">
        <v>1507240</v>
      </c>
      <c r="C4" s="1">
        <v>1965921</v>
      </c>
      <c r="D4" s="1">
        <v>1241736</v>
      </c>
      <c r="E4" s="1">
        <v>774553</v>
      </c>
      <c r="F4" s="1">
        <f>E4*(12/$E$3)</f>
        <v>1549106</v>
      </c>
      <c r="G4" s="1">
        <f>F4*$E$2+D4*$D$2+C4*$C$2</f>
        <v>1540258</v>
      </c>
      <c r="I4" t="s">
        <v>39</v>
      </c>
      <c r="J4" t="s">
        <v>40</v>
      </c>
      <c r="K4" t="s">
        <v>41</v>
      </c>
      <c r="L4" t="s">
        <v>42</v>
      </c>
      <c r="M4" t="s">
        <v>45</v>
      </c>
      <c r="N4" t="s">
        <v>46</v>
      </c>
    </row>
    <row r="5" spans="1:14" x14ac:dyDescent="0.3">
      <c r="A5" t="s">
        <v>1</v>
      </c>
      <c r="B5" s="1">
        <v>260907</v>
      </c>
      <c r="C5" s="1">
        <v>428522</v>
      </c>
      <c r="D5" s="1">
        <v>189875</v>
      </c>
      <c r="E5" s="1">
        <v>109028</v>
      </c>
      <c r="F5" s="1">
        <f t="shared" ref="F5" si="0">E5*(12/$E$3)</f>
        <v>218056</v>
      </c>
      <c r="G5" s="1">
        <f t="shared" ref="G5:G7" si="1">F5*$E$2+D5*$D$2+C5*$C$2</f>
        <v>251694.90000000002</v>
      </c>
      <c r="I5" t="s">
        <v>38</v>
      </c>
      <c r="J5">
        <v>825000</v>
      </c>
      <c r="K5" s="2">
        <v>0.11</v>
      </c>
      <c r="L5">
        <v>10</v>
      </c>
      <c r="M5" s="36">
        <f>PMT((K5/12),(L5*12),(J5+21656))</f>
        <v>-11662.687356037393</v>
      </c>
      <c r="N5" s="36">
        <f>M5*12</f>
        <v>-139952.24827244872</v>
      </c>
    </row>
    <row r="6" spans="1:14" ht="15" thickBot="1" x14ac:dyDescent="0.35">
      <c r="A6" t="s">
        <v>2</v>
      </c>
      <c r="B6" s="1">
        <v>1127829</v>
      </c>
      <c r="C6" s="1">
        <v>1261355</v>
      </c>
      <c r="D6" s="1">
        <v>1050325</v>
      </c>
      <c r="E6" s="1">
        <v>466705</v>
      </c>
      <c r="F6" s="1">
        <f>E6*(12/$E$3)</f>
        <v>933410</v>
      </c>
      <c r="G6" s="1">
        <f>F6*$E$2+D6*$D$2+C6*$C$2</f>
        <v>1034073.5</v>
      </c>
      <c r="I6" t="s">
        <v>43</v>
      </c>
      <c r="J6">
        <v>660000</v>
      </c>
      <c r="K6" s="2">
        <v>0.05</v>
      </c>
      <c r="L6">
        <v>7</v>
      </c>
      <c r="M6" s="36">
        <f t="shared" ref="M6:M7" si="2">PMT((K6/12),(L6*12),J6)</f>
        <v>-9328.3799874586257</v>
      </c>
      <c r="N6" s="36">
        <f t="shared" ref="N6:N7" si="3">M6*12</f>
        <v>-111940.55984950351</v>
      </c>
    </row>
    <row r="7" spans="1:14" x14ac:dyDescent="0.3">
      <c r="A7" s="3" t="s">
        <v>3</v>
      </c>
      <c r="B7" s="4">
        <f>B4-B5-B6</f>
        <v>118504</v>
      </c>
      <c r="C7" s="4">
        <f t="shared" ref="C7:F7" si="4">C4-C5-C6</f>
        <v>276044</v>
      </c>
      <c r="D7" s="4">
        <f t="shared" si="4"/>
        <v>1536</v>
      </c>
      <c r="E7" s="4">
        <f t="shared" si="4"/>
        <v>198820</v>
      </c>
      <c r="F7" s="4">
        <f t="shared" si="4"/>
        <v>397640</v>
      </c>
      <c r="G7" s="5">
        <f t="shared" si="1"/>
        <v>254489.59999999998</v>
      </c>
      <c r="I7" t="s">
        <v>44</v>
      </c>
      <c r="J7">
        <v>165000</v>
      </c>
      <c r="K7" s="2">
        <v>7.0000000000000007E-2</v>
      </c>
      <c r="L7">
        <v>5</v>
      </c>
      <c r="M7" s="36">
        <f t="shared" si="2"/>
        <v>-3267.1977591576733</v>
      </c>
      <c r="N7" s="36">
        <f t="shared" si="3"/>
        <v>-39206.373109892083</v>
      </c>
    </row>
    <row r="8" spans="1:14" ht="15" thickBot="1" x14ac:dyDescent="0.35">
      <c r="A8" s="6" t="s">
        <v>4</v>
      </c>
      <c r="B8" s="7">
        <f>B7/B4</f>
        <v>7.8623178790371812E-2</v>
      </c>
      <c r="C8" s="7">
        <f t="shared" ref="C8:E8" si="5">C7/C4</f>
        <v>0.14041459448268775</v>
      </c>
      <c r="D8" s="7">
        <f t="shared" si="5"/>
        <v>1.2369779083476681E-3</v>
      </c>
      <c r="E8" s="7">
        <f t="shared" si="5"/>
        <v>0.25668998764448658</v>
      </c>
      <c r="F8" s="7">
        <f>F7/F4</f>
        <v>0.25668998764448658</v>
      </c>
      <c r="G8" s="8">
        <f>G7/G4</f>
        <v>0.16522530640970537</v>
      </c>
      <c r="I8" t="s">
        <v>37</v>
      </c>
      <c r="M8" s="36">
        <f>SUM(M5:M7)</f>
        <v>-24258.265102653691</v>
      </c>
      <c r="N8" s="36">
        <f>SUM(N5:N7)</f>
        <v>-291099.1812318443</v>
      </c>
    </row>
    <row r="9" spans="1:14" x14ac:dyDescent="0.3">
      <c r="A9" s="9" t="s">
        <v>7</v>
      </c>
      <c r="B9" s="10">
        <v>270615</v>
      </c>
      <c r="C9" s="10">
        <v>141352</v>
      </c>
      <c r="D9" s="10">
        <v>88570</v>
      </c>
      <c r="F9">
        <f>E9*(12/$E$3)</f>
        <v>0</v>
      </c>
      <c r="G9" s="11">
        <f>F9*$E$2+D9*$D$2+C9*$C$2</f>
        <v>54841.4</v>
      </c>
    </row>
    <row r="10" spans="1:14" x14ac:dyDescent="0.3">
      <c r="A10" s="9" t="s">
        <v>8</v>
      </c>
      <c r="B10" s="10">
        <v>11169</v>
      </c>
      <c r="C10" s="10">
        <v>18033</v>
      </c>
      <c r="D10" s="10">
        <v>22098</v>
      </c>
      <c r="E10" s="10">
        <v>9819</v>
      </c>
      <c r="F10">
        <f t="shared" ref="F10:F12" si="6">E10*(12/$E$3)</f>
        <v>19638</v>
      </c>
      <c r="G10" s="11">
        <f t="shared" ref="G10:G12" si="7">F10*$E$2+D10*$D$2+C10*$C$2</f>
        <v>20055</v>
      </c>
    </row>
    <row r="11" spans="1:14" x14ac:dyDescent="0.3">
      <c r="A11" s="9" t="s">
        <v>9</v>
      </c>
      <c r="F11">
        <f t="shared" si="6"/>
        <v>0</v>
      </c>
      <c r="G11" s="11">
        <f t="shared" si="7"/>
        <v>0</v>
      </c>
    </row>
    <row r="12" spans="1:14" x14ac:dyDescent="0.3">
      <c r="A12" s="9" t="s">
        <v>10</v>
      </c>
      <c r="B12">
        <v>134519</v>
      </c>
      <c r="C12">
        <v>137595</v>
      </c>
      <c r="D12">
        <v>134999</v>
      </c>
      <c r="E12">
        <v>45252</v>
      </c>
      <c r="F12">
        <f t="shared" si="6"/>
        <v>90504</v>
      </c>
      <c r="G12" s="11">
        <f t="shared" si="7"/>
        <v>113270.7</v>
      </c>
    </row>
    <row r="13" spans="1:14" ht="15" thickBot="1" x14ac:dyDescent="0.35">
      <c r="A13" s="9" t="s">
        <v>11</v>
      </c>
      <c r="B13">
        <v>32000</v>
      </c>
      <c r="C13">
        <v>32000</v>
      </c>
      <c r="D13">
        <v>32000</v>
      </c>
      <c r="E13">
        <v>4500</v>
      </c>
      <c r="F13">
        <f>E13*(12/$E$3)</f>
        <v>9000</v>
      </c>
      <c r="G13" s="11">
        <f>F13*$E$2+D13*$D$2+C13*$C$2</f>
        <v>20500</v>
      </c>
    </row>
    <row r="14" spans="1:14" x14ac:dyDescent="0.3">
      <c r="A14" s="12" t="s">
        <v>12</v>
      </c>
      <c r="B14" s="13">
        <f>B7+B9+B10+B11+B12+B13</f>
        <v>566807</v>
      </c>
      <c r="C14" s="13">
        <f t="shared" ref="C14:G14" si="8">C7+C9+C10+C11+C12+C13</f>
        <v>605024</v>
      </c>
      <c r="D14" s="13">
        <f t="shared" si="8"/>
        <v>279203</v>
      </c>
      <c r="E14" s="13">
        <f t="shared" si="8"/>
        <v>258391</v>
      </c>
      <c r="F14" s="13">
        <f t="shared" si="8"/>
        <v>516782</v>
      </c>
      <c r="G14" s="14">
        <f t="shared" si="8"/>
        <v>463156.7</v>
      </c>
    </row>
    <row r="15" spans="1:14" ht="15" thickBot="1" x14ac:dyDescent="0.35">
      <c r="A15" s="15" t="s">
        <v>13</v>
      </c>
      <c r="B15" s="7">
        <f>B14/B4</f>
        <v>0.37605623523791831</v>
      </c>
      <c r="C15" s="7">
        <f t="shared" ref="C15:G15" si="9">C14/C4</f>
        <v>0.30775600850695423</v>
      </c>
      <c r="D15" s="7">
        <f t="shared" si="9"/>
        <v>0.22484892118775648</v>
      </c>
      <c r="E15" s="7">
        <f t="shared" si="9"/>
        <v>0.33360015389521441</v>
      </c>
      <c r="F15" s="7">
        <f t="shared" si="9"/>
        <v>0.33360015389521441</v>
      </c>
      <c r="G15" s="8">
        <f t="shared" si="9"/>
        <v>0.30070072676136078</v>
      </c>
    </row>
    <row r="16" spans="1:14" ht="15" thickBot="1" x14ac:dyDescent="0.35">
      <c r="A16" s="19" t="s">
        <v>14</v>
      </c>
      <c r="B16" s="20"/>
      <c r="C16" s="20"/>
      <c r="D16" s="20"/>
      <c r="E16" s="20"/>
      <c r="F16" s="20"/>
      <c r="G16" s="21"/>
    </row>
    <row r="17" spans="1:7" x14ac:dyDescent="0.3">
      <c r="A17" s="22" t="s">
        <v>15</v>
      </c>
      <c r="B17" s="31"/>
      <c r="C17" s="31"/>
      <c r="D17" s="31"/>
      <c r="E17" s="31"/>
      <c r="F17" s="31">
        <f>E17*(12/$E$3)</f>
        <v>0</v>
      </c>
      <c r="G17" s="32">
        <f>F17*$E$2+D17*$D$2+C17*$C$2</f>
        <v>0</v>
      </c>
    </row>
    <row r="18" spans="1:7" x14ac:dyDescent="0.3">
      <c r="A18" s="22" t="s">
        <v>16</v>
      </c>
      <c r="B18" s="31"/>
      <c r="C18" s="31"/>
      <c r="D18" s="31"/>
      <c r="E18" s="31"/>
      <c r="F18" s="31">
        <f t="shared" ref="F18:F33" si="10">E18*(12/$E$3)</f>
        <v>0</v>
      </c>
      <c r="G18" s="32">
        <f t="shared" ref="G18:G33" si="11">F18*$E$2+D18*$D$2+C18*$C$2</f>
        <v>0</v>
      </c>
    </row>
    <row r="19" spans="1:7" x14ac:dyDescent="0.3">
      <c r="A19" s="22" t="s">
        <v>17</v>
      </c>
      <c r="B19" s="31"/>
      <c r="C19" s="31"/>
      <c r="D19" s="31"/>
      <c r="E19" s="31"/>
      <c r="F19" s="31">
        <f t="shared" si="10"/>
        <v>0</v>
      </c>
      <c r="G19" s="32">
        <f t="shared" si="11"/>
        <v>0</v>
      </c>
    </row>
    <row r="20" spans="1:7" x14ac:dyDescent="0.3">
      <c r="A20" s="22" t="s">
        <v>18</v>
      </c>
      <c r="B20" s="31"/>
      <c r="C20" s="31"/>
      <c r="D20" s="31"/>
      <c r="E20" s="31"/>
      <c r="F20" s="31">
        <f t="shared" si="10"/>
        <v>0</v>
      </c>
      <c r="G20" s="32">
        <f t="shared" si="11"/>
        <v>0</v>
      </c>
    </row>
    <row r="21" spans="1:7" x14ac:dyDescent="0.3">
      <c r="A21" s="22" t="s">
        <v>19</v>
      </c>
      <c r="B21" s="31"/>
      <c r="C21" s="31"/>
      <c r="D21" s="31"/>
      <c r="E21" s="31"/>
      <c r="F21" s="31">
        <f t="shared" si="10"/>
        <v>0</v>
      </c>
      <c r="G21" s="32">
        <f t="shared" si="11"/>
        <v>0</v>
      </c>
    </row>
    <row r="22" spans="1:7" x14ac:dyDescent="0.3">
      <c r="A22" s="22" t="s">
        <v>20</v>
      </c>
      <c r="B22" s="31"/>
      <c r="C22" s="31"/>
      <c r="D22" s="31"/>
      <c r="E22" s="31"/>
      <c r="F22" s="31">
        <f t="shared" si="10"/>
        <v>0</v>
      </c>
      <c r="G22" s="32">
        <f t="shared" si="11"/>
        <v>0</v>
      </c>
    </row>
    <row r="23" spans="1:7" x14ac:dyDescent="0.3">
      <c r="A23" s="22" t="s">
        <v>21</v>
      </c>
      <c r="B23" s="31"/>
      <c r="C23" s="31"/>
      <c r="D23" s="31"/>
      <c r="E23" s="31"/>
      <c r="F23" s="31">
        <f t="shared" si="10"/>
        <v>0</v>
      </c>
      <c r="G23" s="32">
        <f t="shared" si="11"/>
        <v>0</v>
      </c>
    </row>
    <row r="24" spans="1:7" x14ac:dyDescent="0.3">
      <c r="A24" s="22" t="s">
        <v>22</v>
      </c>
      <c r="B24" s="31"/>
      <c r="C24" s="31"/>
      <c r="D24" s="31"/>
      <c r="E24" s="31"/>
      <c r="F24" s="31">
        <f t="shared" si="10"/>
        <v>0</v>
      </c>
      <c r="G24" s="32">
        <f t="shared" si="11"/>
        <v>0</v>
      </c>
    </row>
    <row r="25" spans="1:7" x14ac:dyDescent="0.3">
      <c r="A25" s="22" t="s">
        <v>23</v>
      </c>
      <c r="B25" s="31"/>
      <c r="C25" s="31"/>
      <c r="D25" s="31"/>
      <c r="E25" s="31"/>
      <c r="F25" s="31">
        <f t="shared" si="10"/>
        <v>0</v>
      </c>
      <c r="G25" s="32">
        <f t="shared" si="11"/>
        <v>0</v>
      </c>
    </row>
    <row r="26" spans="1:7" x14ac:dyDescent="0.3">
      <c r="A26" s="22" t="s">
        <v>24</v>
      </c>
      <c r="B26" s="31"/>
      <c r="C26" s="31"/>
      <c r="D26" s="31"/>
      <c r="E26" s="31"/>
      <c r="F26" s="31">
        <f t="shared" si="10"/>
        <v>0</v>
      </c>
      <c r="G26" s="32">
        <f t="shared" si="11"/>
        <v>0</v>
      </c>
    </row>
    <row r="27" spans="1:7" x14ac:dyDescent="0.3">
      <c r="A27" s="22" t="s">
        <v>25</v>
      </c>
      <c r="B27" s="31"/>
      <c r="C27" s="31"/>
      <c r="D27" s="31"/>
      <c r="E27" s="31"/>
      <c r="F27" s="31">
        <f t="shared" si="10"/>
        <v>0</v>
      </c>
      <c r="G27" s="32">
        <f t="shared" si="11"/>
        <v>0</v>
      </c>
    </row>
    <row r="28" spans="1:7" x14ac:dyDescent="0.3">
      <c r="A28" s="22" t="s">
        <v>26</v>
      </c>
      <c r="B28" s="31">
        <v>30311</v>
      </c>
      <c r="C28" s="31">
        <v>57017</v>
      </c>
      <c r="D28" s="31">
        <v>43187</v>
      </c>
      <c r="E28" s="31">
        <v>33960</v>
      </c>
      <c r="F28" s="31">
        <f t="shared" si="10"/>
        <v>67920</v>
      </c>
      <c r="G28" s="32">
        <f t="shared" si="11"/>
        <v>58319.5</v>
      </c>
    </row>
    <row r="29" spans="1:7" x14ac:dyDescent="0.3">
      <c r="A29" s="22" t="s">
        <v>27</v>
      </c>
      <c r="B29" s="31"/>
      <c r="C29" s="31"/>
      <c r="D29" s="31"/>
      <c r="E29" s="31"/>
      <c r="F29" s="31">
        <f t="shared" si="10"/>
        <v>0</v>
      </c>
      <c r="G29" s="32">
        <f t="shared" si="11"/>
        <v>0</v>
      </c>
    </row>
    <row r="30" spans="1:7" x14ac:dyDescent="0.3">
      <c r="A30" s="22" t="s">
        <v>28</v>
      </c>
      <c r="B30" s="31">
        <v>24685</v>
      </c>
      <c r="C30" s="31">
        <v>88259</v>
      </c>
      <c r="D30" s="31">
        <v>50186</v>
      </c>
      <c r="E30" s="31">
        <v>15172</v>
      </c>
      <c r="F30" s="31">
        <f t="shared" si="10"/>
        <v>30344</v>
      </c>
      <c r="G30" s="32">
        <f t="shared" si="11"/>
        <v>47879.6</v>
      </c>
    </row>
    <row r="31" spans="1:7" x14ac:dyDescent="0.3">
      <c r="A31" s="22" t="s">
        <v>29</v>
      </c>
      <c r="B31" s="31"/>
      <c r="C31" s="31">
        <v>1412</v>
      </c>
      <c r="D31" s="31"/>
      <c r="E31" s="31"/>
      <c r="F31" s="31">
        <f t="shared" si="10"/>
        <v>0</v>
      </c>
      <c r="G31" s="32">
        <f t="shared" si="11"/>
        <v>282.40000000000003</v>
      </c>
    </row>
    <row r="32" spans="1:7" x14ac:dyDescent="0.3">
      <c r="A32" s="22" t="s">
        <v>30</v>
      </c>
      <c r="B32" s="31">
        <v>14055</v>
      </c>
      <c r="C32" s="31">
        <v>30789</v>
      </c>
      <c r="D32" s="31">
        <v>4379</v>
      </c>
      <c r="E32" s="31">
        <v>460</v>
      </c>
      <c r="F32" s="31">
        <f t="shared" si="10"/>
        <v>920</v>
      </c>
      <c r="G32" s="32">
        <f t="shared" si="11"/>
        <v>7931.5</v>
      </c>
    </row>
    <row r="33" spans="1:7" ht="15" thickBot="1" x14ac:dyDescent="0.35">
      <c r="A33" s="22" t="s">
        <v>31</v>
      </c>
      <c r="B33" s="31"/>
      <c r="C33" s="31">
        <v>414399</v>
      </c>
      <c r="D33" s="31">
        <v>119538</v>
      </c>
      <c r="E33" s="31">
        <v>283369</v>
      </c>
      <c r="F33" s="31">
        <f t="shared" si="10"/>
        <v>566738</v>
      </c>
      <c r="G33" s="32">
        <f t="shared" si="11"/>
        <v>402110.2</v>
      </c>
    </row>
    <row r="34" spans="1:7" ht="15" thickBot="1" x14ac:dyDescent="0.35">
      <c r="A34" s="18" t="s">
        <v>36</v>
      </c>
      <c r="B34" s="33">
        <f>SUM(B17:B33)</f>
        <v>69051</v>
      </c>
      <c r="C34" s="33">
        <f t="shared" ref="C34:G34" si="12">SUM(C17:C33)</f>
        <v>591876</v>
      </c>
      <c r="D34" s="33">
        <f t="shared" si="12"/>
        <v>217290</v>
      </c>
      <c r="E34" s="33">
        <f t="shared" si="12"/>
        <v>332961</v>
      </c>
      <c r="F34" s="33">
        <f t="shared" si="12"/>
        <v>665922</v>
      </c>
      <c r="G34" s="34">
        <f t="shared" si="12"/>
        <v>516523.2</v>
      </c>
    </row>
    <row r="35" spans="1:7" x14ac:dyDescent="0.3">
      <c r="A35" s="12" t="s">
        <v>32</v>
      </c>
      <c r="B35" s="13">
        <f>B14+B34</f>
        <v>635858</v>
      </c>
      <c r="C35" s="13">
        <f t="shared" ref="C35:G35" si="13">C14+C34</f>
        <v>1196900</v>
      </c>
      <c r="D35" s="13">
        <f t="shared" si="13"/>
        <v>496493</v>
      </c>
      <c r="E35" s="13">
        <f t="shared" si="13"/>
        <v>591352</v>
      </c>
      <c r="F35" s="13">
        <f t="shared" si="13"/>
        <v>1182704</v>
      </c>
      <c r="G35" s="13">
        <f t="shared" si="13"/>
        <v>979679.9</v>
      </c>
    </row>
    <row r="36" spans="1:7" ht="15" thickBot="1" x14ac:dyDescent="0.35">
      <c r="A36" s="15" t="s">
        <v>33</v>
      </c>
      <c r="B36" s="16">
        <f>B35/B4</f>
        <v>0.42186911175393432</v>
      </c>
      <c r="C36" s="16">
        <f t="shared" ref="C36:G36" si="14">C35/C4</f>
        <v>0.60882405752825264</v>
      </c>
      <c r="D36" s="16">
        <f t="shared" si="14"/>
        <v>0.39983780771436117</v>
      </c>
      <c r="E36" s="16">
        <f t="shared" si="14"/>
        <v>0.76347519149754761</v>
      </c>
      <c r="F36" s="16">
        <f t="shared" si="14"/>
        <v>0.76347519149754761</v>
      </c>
      <c r="G36" s="17">
        <f t="shared" si="14"/>
        <v>0.63604922032542599</v>
      </c>
    </row>
    <row r="37" spans="1:7" ht="15" thickBot="1" x14ac:dyDescent="0.35">
      <c r="A37" s="15" t="s">
        <v>37</v>
      </c>
      <c r="B37" s="37">
        <f>$N$8</f>
        <v>-291099.1812318443</v>
      </c>
      <c r="C37" s="37">
        <f t="shared" ref="C37:G37" si="15">$N$8</f>
        <v>-291099.1812318443</v>
      </c>
      <c r="D37" s="37">
        <f t="shared" si="15"/>
        <v>-291099.1812318443</v>
      </c>
      <c r="E37" s="37">
        <f t="shared" si="15"/>
        <v>-291099.1812318443</v>
      </c>
      <c r="F37" s="37">
        <f t="shared" si="15"/>
        <v>-291099.1812318443</v>
      </c>
      <c r="G37" s="37">
        <f t="shared" si="15"/>
        <v>-291099.1812318443</v>
      </c>
    </row>
    <row r="38" spans="1:7" ht="15" thickBot="1" x14ac:dyDescent="0.35">
      <c r="A38" s="18" t="s">
        <v>35</v>
      </c>
      <c r="B38" s="35">
        <f>B7+B34+B37</f>
        <v>-103544.1812318443</v>
      </c>
      <c r="C38" s="35">
        <f t="shared" ref="C38:G38" si="16">C7+C34+C37</f>
        <v>576820.81876815576</v>
      </c>
      <c r="D38" s="35">
        <f t="shared" si="16"/>
        <v>-72273.181231844297</v>
      </c>
      <c r="E38" s="35">
        <f t="shared" si="16"/>
        <v>240681.8187681557</v>
      </c>
      <c r="F38" s="35">
        <f t="shared" si="16"/>
        <v>772462.81876815576</v>
      </c>
      <c r="G38" s="35">
        <f t="shared" si="16"/>
        <v>479913.61876815575</v>
      </c>
    </row>
  </sheetData>
  <mergeCells count="1"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2026-07-21T05:10:19Z</dcterms:created>
  <dcterms:modified xsi:type="dcterms:W3CDTF">2026-07-21T05:53:33Z</dcterms:modified>
</cp:coreProperties>
</file>