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sonal P&amp;L" sheetId="1" r:id="rId4"/>
  </sheets>
  <definedNames/>
  <calcPr/>
  <extLst>
    <ext uri="GoogleSheetsCustomDataVersion2">
      <go:sheetsCustomData xmlns:go="http://customooxmlschemas.google.com/" r:id="rId5" roundtripDataChecksum="n4E15OrxeVZh9XqnDadgJoY++4HOLIzhy88bVj3HyFw="/>
    </ext>
  </extLst>
</workbook>
</file>

<file path=xl/sharedStrings.xml><?xml version="1.0" encoding="utf-8"?>
<sst xmlns="http://schemas.openxmlformats.org/spreadsheetml/2006/main" count="46" uniqueCount="45">
  <si>
    <t>YOUR PERSONAL P&amp;L (Profit &amp; Loss Statement)</t>
  </si>
  <si>
    <t>Use this document to input your profits (salary, income, payments, bonuses etc) and your losses (your expenses, mortgage, travel, etc).</t>
  </si>
  <si>
    <t>Budget &amp; Income Considerations</t>
  </si>
  <si>
    <t>COA 1</t>
  </si>
  <si>
    <t>COA 2</t>
  </si>
  <si>
    <t>COA 3</t>
  </si>
  <si>
    <t>COA 4</t>
  </si>
  <si>
    <t>CURRENT</t>
  </si>
  <si>
    <t>DELTA</t>
  </si>
  <si>
    <t>Annual Base Salary</t>
  </si>
  <si>
    <t>How to use your P&amp;L</t>
  </si>
  <si>
    <t>Monthly Rental Income #1</t>
  </si>
  <si>
    <t xml:space="preserve">Enter your current income and expenses under current. These are your personal expenses, not your business expenses. </t>
  </si>
  <si>
    <t>Monthly Rental Income #2</t>
  </si>
  <si>
    <t>Monthly Rental Income #3</t>
  </si>
  <si>
    <t xml:space="preserve">Note: this is not factoring in taxes as your tax rate can vary depending on your income stream. Salary income is tax differently than real estate or business income. </t>
  </si>
  <si>
    <t>Monthly New Business #1</t>
  </si>
  <si>
    <t>Monthly New rev streams</t>
  </si>
  <si>
    <r>
      <rPr>
        <rFont val="Arial"/>
        <color theme="1"/>
      </rPr>
      <t xml:space="preserve">Anything that is in </t>
    </r>
    <r>
      <rPr>
        <rFont val="Arial"/>
        <color rgb="FF46BDC6"/>
      </rPr>
      <t xml:space="preserve">blue </t>
    </r>
    <r>
      <rPr>
        <rFont val="Arial"/>
        <color theme="1"/>
      </rPr>
      <t>and</t>
    </r>
    <r>
      <rPr>
        <rFont val="Arial"/>
        <color rgb="FF46BDC6"/>
      </rPr>
      <t xml:space="preserve"> </t>
    </r>
    <r>
      <rPr>
        <rFont val="Arial"/>
        <color rgb="FFB7B7B7"/>
      </rPr>
      <t xml:space="preserve">gray </t>
    </r>
    <r>
      <rPr>
        <rFont val="Arial"/>
        <color theme="1"/>
      </rPr>
      <t xml:space="preserve">is a formula, do not edit. </t>
    </r>
  </si>
  <si>
    <t>Monthly Take Home Pay</t>
  </si>
  <si>
    <t xml:space="preserve">Enter your current income and expenses under current. </t>
  </si>
  <si>
    <t>Bonus</t>
  </si>
  <si>
    <t xml:space="preserve">Enter in different COAs (course of action). Each COA is for you to manipulate to use for different scenarios or for you to use for prior years. For example, what if you doubled your rental income? Bought a business? Got a raise? Etc. </t>
  </si>
  <si>
    <t>Gross Annual Income</t>
  </si>
  <si>
    <t>Liabilities</t>
  </si>
  <si>
    <t xml:space="preserve">DELTA is the difference between COA 1 and your current expenses to help you see the differences you would need to make in order to achieve COA 1 income. </t>
  </si>
  <si>
    <t>Rent/Mortgage</t>
  </si>
  <si>
    <t>Car</t>
  </si>
  <si>
    <t>Fuel</t>
  </si>
  <si>
    <t>Use the monthly free cash flow (FCF) below to see how much money you have left for savings and investing.</t>
  </si>
  <si>
    <t>Gym</t>
  </si>
  <si>
    <t>Insurance</t>
  </si>
  <si>
    <t>Groceries</t>
  </si>
  <si>
    <t>Restaurants</t>
  </si>
  <si>
    <t>Entertainment</t>
  </si>
  <si>
    <t xml:space="preserve">Utilities </t>
  </si>
  <si>
    <t>Childcare</t>
  </si>
  <si>
    <t>Pets</t>
  </si>
  <si>
    <t>Travel</t>
  </si>
  <si>
    <t>Shopping</t>
  </si>
  <si>
    <t>Misc</t>
  </si>
  <si>
    <t>Total Monthly Liabilites</t>
  </si>
  <si>
    <t>Monthly FCF</t>
  </si>
  <si>
    <t>Annual Occupation Comp</t>
  </si>
  <si>
    <t>Net Annual Income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</si>
</sst>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quot;$&quot;* #,##0.00_);_(&quot;$&quot;* \(#,##0.00\);_(&quot;$&quot;* &quot;-&quot;??_);_(@_)"/>
    <numFmt numFmtId="165" formatCode="_(&quot;$&quot;* #,##0_);_(&quot;$&quot;* \(#,##0\);_(&quot;$&quot;* &quot;-&quot;??_);_(@_)"/>
  </numFmts>
  <fonts count="17">
    <font>
      <sz val="10.0"/>
      <color rgb="FF000000"/>
      <name val="Arial"/>
      <scheme val="minor"/>
    </font>
    <font>
      <color theme="1"/>
      <name val="Arial"/>
      <scheme val="minor"/>
    </font>
    <font>
      <b/>
      <sz val="24.0"/>
      <color rgb="FFFFFFFF"/>
      <name val="Arial"/>
    </font>
    <font>
      <b/>
      <sz val="20.0"/>
      <color rgb="FFFFFFFF"/>
      <name val="Poppins"/>
    </font>
    <font/>
    <font>
      <color theme="1"/>
      <name val="Arial"/>
    </font>
    <font>
      <b/>
      <color theme="1"/>
      <name val="Arial"/>
      <scheme val="minor"/>
    </font>
    <font>
      <b/>
      <color rgb="FF000000"/>
      <name val="Arial"/>
    </font>
    <font>
      <b/>
      <color theme="1"/>
      <name val="Arial"/>
    </font>
    <font>
      <color rgb="FF000000"/>
      <name val="Arial"/>
    </font>
    <font>
      <b/>
      <sz val="12.0"/>
      <color theme="0"/>
      <name val="Arial"/>
    </font>
    <font>
      <b/>
      <color rgb="FFFFFFFF"/>
      <name val="Arial"/>
    </font>
    <font>
      <color theme="0"/>
      <name val="Arial"/>
    </font>
    <font>
      <color rgb="FFFFFFFF"/>
      <name val="Arial"/>
    </font>
    <font>
      <color rgb="FFFF0000"/>
      <name val="Arial"/>
    </font>
    <font>
      <color rgb="FF000000"/>
      <name val="Helvetica Neue"/>
    </font>
    <font>
      <b/>
      <color theme="0"/>
      <name val="Arial"/>
    </font>
  </fonts>
  <fills count="6">
    <fill>
      <patternFill patternType="none"/>
    </fill>
    <fill>
      <patternFill patternType="lightGray"/>
    </fill>
    <fill>
      <patternFill patternType="solid">
        <fgColor rgb="FF000000"/>
        <bgColor rgb="FF000000"/>
      </patternFill>
    </fill>
    <fill>
      <patternFill patternType="solid">
        <fgColor rgb="FF46BDC6"/>
        <bgColor rgb="FF46BDC6"/>
      </patternFill>
    </fill>
    <fill>
      <patternFill patternType="solid">
        <fgColor theme="9"/>
        <bgColor theme="9"/>
      </patternFill>
    </fill>
    <fill>
      <patternFill patternType="solid">
        <fgColor rgb="FFD9D9D9"/>
        <bgColor rgb="FFD9D9D9"/>
      </patternFill>
    </fill>
  </fills>
  <borders count="46">
    <border/>
    <border>
      <bottom style="thin">
        <color rgb="FFFFFFFF"/>
      </bottom>
    </border>
    <border>
      <left style="thin">
        <color rgb="FFFFFFFF"/>
      </left>
      <right style="thin">
        <color rgb="FFFFFFFF"/>
      </right>
      <top style="thin">
        <color rgb="FFFFFFFF"/>
      </top>
      <bottom style="thin">
        <color rgb="FFFFFFFF"/>
      </bottom>
    </border>
    <border>
      <top style="thin">
        <color rgb="FFFFFFFF"/>
      </top>
      <bottom style="thin">
        <color rgb="FFFFFFF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FFFFFF"/>
      </left>
      <right style="thin">
        <color rgb="FFFFFFFF"/>
      </right>
      <top style="thin">
        <color rgb="FFFFFFFF"/>
      </top>
    </border>
    <border>
      <right style="thin">
        <color rgb="FFFFFFFF"/>
      </right>
      <top style="thin">
        <color rgb="FFFFFFFF"/>
      </top>
      <bottom style="thin">
        <color rgb="FFFFFFFF"/>
      </bottom>
    </border>
    <border>
      <right style="thin">
        <color rgb="FFFFFFFF"/>
      </right>
    </border>
    <border>
      <left style="thin">
        <color rgb="FFFFFFFF"/>
      </left>
      <right style="thin">
        <color rgb="FFFFFFFF"/>
      </right>
    </border>
    <border>
      <left style="thin">
        <color rgb="FFFFFFFF"/>
      </left>
    </border>
    <border>
      <left style="thin">
        <color rgb="FFFFFFFF"/>
      </left>
      <top style="thin">
        <color rgb="FFFFFFFF"/>
      </top>
      <bottom style="thin">
        <color rgb="FFFFFFFF"/>
      </bottom>
    </border>
    <border>
      <left style="thick">
        <color rgb="FFFFFFFF"/>
      </left>
      <right style="thick">
        <color rgb="FFFFFFFF"/>
      </right>
      <top style="thick">
        <color rgb="FFFFFFFF"/>
      </top>
      <bottom style="thick">
        <color rgb="FFFFFFFF"/>
      </bottom>
    </border>
    <border>
      <left style="thick">
        <color rgb="FF434343"/>
      </left>
      <top style="thick">
        <color rgb="FF000000"/>
      </top>
    </border>
    <border>
      <top style="thick">
        <color rgb="FF000000"/>
      </top>
    </border>
    <border>
      <right style="thick">
        <color rgb="FF434343"/>
      </right>
      <top style="thick">
        <color rgb="FF000000"/>
      </top>
    </border>
    <border>
      <left style="thick">
        <color rgb="FF000000"/>
      </left>
      <right style="thin">
        <color rgb="FF000000"/>
      </right>
      <top style="thick">
        <color rgb="FFFFFFFF"/>
      </top>
    </border>
    <border>
      <left style="thin">
        <color rgb="FF000000"/>
      </left>
      <right style="thin">
        <color rgb="FF000000"/>
      </right>
      <top style="thin">
        <color rgb="FF000000"/>
      </top>
    </border>
    <border>
      <left style="thin">
        <color rgb="FF000000"/>
      </left>
      <right style="thick">
        <color rgb="FF434343"/>
      </right>
      <top style="thin">
        <color rgb="FF000000"/>
      </top>
    </border>
    <border>
      <left style="thick">
        <color rgb="FFFFFFFF"/>
      </left>
      <right style="thick">
        <color rgb="FFFFFFFF"/>
      </right>
      <top style="thick">
        <color rgb="FFFFFFFF"/>
      </top>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FFFFFF"/>
      </left>
      <right style="thick">
        <color rgb="FFFFFFFF"/>
      </right>
    </border>
    <border>
      <left style="thick">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thick">
        <color rgb="FF000000"/>
      </right>
      <top style="thin">
        <color rgb="FF000000"/>
      </top>
      <bottom style="medium">
        <color rgb="FF000000"/>
      </bottom>
    </border>
    <border>
      <top style="thin">
        <color rgb="FFFFFFFF"/>
      </top>
    </border>
  </borders>
  <cellStyleXfs count="1">
    <xf borderId="0" fillId="0" fontId="0" numFmtId="0" applyAlignment="1" applyFont="1"/>
  </cellStyleXfs>
  <cellXfs count="87">
    <xf borderId="0" fillId="0" fontId="0" numFmtId="0" xfId="0" applyAlignment="1" applyFont="1">
      <alignment readingOrder="0" shrinkToFit="0" vertical="bottom" wrapText="0"/>
    </xf>
    <xf borderId="1" fillId="0" fontId="1" numFmtId="0" xfId="0" applyBorder="1" applyFont="1"/>
    <xf borderId="0" fillId="2" fontId="2" numFmtId="0" xfId="0" applyAlignment="1" applyFill="1" applyFont="1">
      <alignment horizontal="left"/>
    </xf>
    <xf borderId="2" fillId="0" fontId="1" numFmtId="0" xfId="0" applyBorder="1" applyFont="1"/>
    <xf borderId="3" fillId="0" fontId="1" numFmtId="0" xfId="0" applyBorder="1" applyFont="1"/>
    <xf borderId="4" fillId="2" fontId="3" numFmtId="0" xfId="0" applyAlignment="1" applyBorder="1" applyFont="1">
      <alignment horizontal="center" vertical="center"/>
    </xf>
    <xf borderId="5" fillId="0" fontId="4" numFmtId="0" xfId="0" applyBorder="1" applyFont="1"/>
    <xf borderId="6" fillId="0" fontId="4" numFmtId="0" xfId="0" applyBorder="1" applyFont="1"/>
    <xf borderId="7" fillId="0" fontId="5" numFmtId="0" xfId="0" applyAlignment="1" applyBorder="1" applyFont="1">
      <alignment horizontal="left" readingOrder="0"/>
    </xf>
    <xf borderId="8" fillId="0" fontId="4" numFmtId="0" xfId="0" applyBorder="1" applyFont="1"/>
    <xf borderId="9" fillId="0" fontId="4" numFmtId="0" xfId="0" applyBorder="1" applyFont="1"/>
    <xf borderId="10" fillId="0" fontId="1" numFmtId="0" xfId="0" applyAlignment="1" applyBorder="1" applyFont="1">
      <alignment readingOrder="0"/>
    </xf>
    <xf borderId="10" fillId="0" fontId="6" numFmtId="9" xfId="0" applyAlignment="1" applyBorder="1" applyFont="1" applyNumberFormat="1">
      <alignment horizontal="center" readingOrder="0"/>
    </xf>
    <xf borderId="10" fillId="0" fontId="1" numFmtId="0" xfId="0" applyBorder="1" applyFont="1"/>
    <xf borderId="11" fillId="0" fontId="1" numFmtId="0" xfId="0" applyBorder="1" applyFont="1"/>
    <xf borderId="12" fillId="0" fontId="1" numFmtId="0" xfId="0" applyAlignment="1" applyBorder="1" applyFont="1">
      <alignment horizontal="left"/>
    </xf>
    <xf borderId="13" fillId="0" fontId="1" numFmtId="0" xfId="0" applyBorder="1" applyFont="1"/>
    <xf borderId="14" fillId="0" fontId="1" numFmtId="0" xfId="0" applyBorder="1" applyFont="1"/>
    <xf borderId="15" fillId="0" fontId="1" numFmtId="0" xfId="0" applyBorder="1" applyFont="1"/>
    <xf borderId="16" fillId="0" fontId="1" numFmtId="0" xfId="0" applyBorder="1" applyFont="1"/>
    <xf borderId="17" fillId="0" fontId="7" numFmtId="164" xfId="0" applyAlignment="1" applyBorder="1" applyFont="1" applyNumberFormat="1">
      <alignment horizontal="center"/>
    </xf>
    <xf borderId="18" fillId="0" fontId="4" numFmtId="0" xfId="0" applyBorder="1" applyFont="1"/>
    <xf borderId="19" fillId="0" fontId="4" numFmtId="0" xfId="0" applyBorder="1" applyFont="1"/>
    <xf borderId="20" fillId="0" fontId="5" numFmtId="0" xfId="0" applyAlignment="1" applyBorder="1" applyFont="1">
      <alignment horizontal="left"/>
    </xf>
    <xf borderId="21" fillId="0" fontId="8" numFmtId="164" xfId="0" applyAlignment="1" applyBorder="1" applyFont="1" applyNumberFormat="1">
      <alignment horizontal="center"/>
    </xf>
    <xf borderId="21" fillId="0" fontId="7" numFmtId="164" xfId="0" applyAlignment="1" applyBorder="1" applyFont="1" applyNumberFormat="1">
      <alignment horizontal="center"/>
    </xf>
    <xf borderId="21" fillId="3" fontId="7" numFmtId="0" xfId="0" applyAlignment="1" applyBorder="1" applyFill="1" applyFont="1">
      <alignment horizontal="center"/>
    </xf>
    <xf borderId="22" fillId="0" fontId="8" numFmtId="0" xfId="0" applyAlignment="1" applyBorder="1" applyFont="1">
      <alignment horizontal="center"/>
    </xf>
    <xf borderId="23" fillId="0" fontId="1" numFmtId="0" xfId="0" applyBorder="1" applyFont="1"/>
    <xf borderId="24" fillId="0" fontId="7" numFmtId="0" xfId="0" applyAlignment="1" applyBorder="1" applyFont="1">
      <alignment horizontal="left"/>
    </xf>
    <xf borderId="25" fillId="0" fontId="9" numFmtId="165" xfId="0" applyBorder="1" applyFont="1" applyNumberFormat="1"/>
    <xf borderId="25" fillId="0" fontId="5" numFmtId="165" xfId="0" applyAlignment="1" applyBorder="1" applyFont="1" applyNumberFormat="1">
      <alignment readingOrder="0"/>
    </xf>
    <xf borderId="26" fillId="0" fontId="5" numFmtId="165" xfId="0" applyBorder="1" applyFont="1" applyNumberFormat="1"/>
    <xf borderId="4" fillId="4" fontId="10" numFmtId="0" xfId="0" applyAlignment="1" applyBorder="1" applyFill="1" applyFont="1">
      <alignment horizontal="center" readingOrder="0"/>
    </xf>
    <xf borderId="27" fillId="0" fontId="9" numFmtId="0" xfId="0" applyAlignment="1" applyBorder="1" applyFont="1">
      <alignment horizontal="left" readingOrder="0"/>
    </xf>
    <xf borderId="28" fillId="0" fontId="5" numFmtId="165" xfId="0" applyBorder="1" applyFont="1" applyNumberFormat="1"/>
    <xf borderId="28" fillId="0" fontId="5" numFmtId="165" xfId="0" applyAlignment="1" applyBorder="1" applyFont="1" applyNumberFormat="1">
      <alignment readingOrder="0"/>
    </xf>
    <xf borderId="29" fillId="0" fontId="5" numFmtId="165" xfId="0" applyBorder="1" applyFont="1" applyNumberFormat="1"/>
    <xf borderId="30" fillId="0" fontId="5" numFmtId="0" xfId="0" applyAlignment="1" applyBorder="1" applyFont="1">
      <alignment readingOrder="0" shrinkToFit="0" vertical="center" wrapText="1"/>
    </xf>
    <xf borderId="31" fillId="0" fontId="4" numFmtId="0" xfId="0" applyBorder="1" applyFont="1"/>
    <xf borderId="28" fillId="0" fontId="9" numFmtId="165" xfId="0" applyBorder="1" applyFont="1" applyNumberFormat="1"/>
    <xf borderId="32" fillId="0" fontId="4" numFmtId="0" xfId="0" applyBorder="1" applyFont="1"/>
    <xf borderId="33" fillId="0" fontId="4" numFmtId="0" xfId="0" applyBorder="1" applyFont="1"/>
    <xf borderId="34" fillId="0" fontId="4" numFmtId="0" xfId="0" applyBorder="1" applyFont="1"/>
    <xf borderId="30" fillId="0" fontId="1" numFmtId="0" xfId="0" applyAlignment="1" applyBorder="1" applyFont="1">
      <alignment readingOrder="0" shrinkToFit="0" vertical="center" wrapText="1"/>
    </xf>
    <xf borderId="27" fillId="0" fontId="5" numFmtId="0" xfId="0" applyAlignment="1" applyBorder="1" applyFont="1">
      <alignment horizontal="left" readingOrder="0"/>
    </xf>
    <xf borderId="30" fillId="0" fontId="4" numFmtId="0" xfId="0" applyBorder="1" applyFont="1"/>
    <xf borderId="27" fillId="0" fontId="9" numFmtId="0" xfId="0" applyAlignment="1" applyBorder="1" applyFont="1">
      <alignment horizontal="left" readingOrder="0" shrinkToFit="0" wrapText="1"/>
    </xf>
    <xf borderId="4" fillId="0" fontId="5" numFmtId="0" xfId="0" applyAlignment="1" applyBorder="1" applyFont="1">
      <alignment readingOrder="0" vertical="center"/>
    </xf>
    <xf borderId="27" fillId="0" fontId="8" numFmtId="0" xfId="0" applyAlignment="1" applyBorder="1" applyFont="1">
      <alignment horizontal="left" shrinkToFit="0" wrapText="1"/>
    </xf>
    <xf borderId="3" fillId="0" fontId="1" numFmtId="0" xfId="0" applyAlignment="1" applyBorder="1" applyFont="1">
      <alignment readingOrder="0"/>
    </xf>
    <xf borderId="27" fillId="0" fontId="8" numFmtId="0" xfId="0" applyAlignment="1" applyBorder="1" applyFont="1">
      <alignment horizontal="left"/>
    </xf>
    <xf borderId="28" fillId="0" fontId="9" numFmtId="165" xfId="0" applyAlignment="1" applyBorder="1" applyFont="1" applyNumberFormat="1">
      <alignment readingOrder="0"/>
    </xf>
    <xf borderId="35" fillId="0" fontId="5" numFmtId="0" xfId="0" applyAlignment="1" applyBorder="1" applyFont="1">
      <alignment readingOrder="0" shrinkToFit="0" vertical="center" wrapText="1"/>
    </xf>
    <xf borderId="36" fillId="0" fontId="4" numFmtId="0" xfId="0" applyBorder="1" applyFont="1"/>
    <xf borderId="37" fillId="0" fontId="4" numFmtId="0" xfId="0" applyBorder="1" applyFont="1"/>
    <xf borderId="38" fillId="4" fontId="11" numFmtId="0" xfId="0" applyAlignment="1" applyBorder="1" applyFont="1">
      <alignment horizontal="left" readingOrder="0"/>
    </xf>
    <xf borderId="39" fillId="4" fontId="12" numFmtId="165" xfId="0" applyBorder="1" applyFont="1" applyNumberFormat="1"/>
    <xf borderId="40" fillId="3" fontId="13" numFmtId="165" xfId="0" applyBorder="1" applyFont="1" applyNumberFormat="1"/>
    <xf borderId="41" fillId="0" fontId="5" numFmtId="0" xfId="0" applyAlignment="1" applyBorder="1" applyFont="1">
      <alignment horizontal="left"/>
    </xf>
    <xf borderId="41" fillId="0" fontId="5" numFmtId="165" xfId="0" applyBorder="1" applyFont="1" applyNumberFormat="1"/>
    <xf borderId="24" fillId="0" fontId="8" numFmtId="0" xfId="0" applyAlignment="1" applyBorder="1" applyFont="1">
      <alignment horizontal="left"/>
    </xf>
    <xf borderId="25" fillId="0" fontId="5" numFmtId="165" xfId="0" applyBorder="1" applyFont="1" applyNumberFormat="1"/>
    <xf borderId="3" fillId="0" fontId="5" numFmtId="0" xfId="0" applyBorder="1" applyFont="1"/>
    <xf borderId="27" fillId="0" fontId="9" numFmtId="0" xfId="0" applyAlignment="1" applyBorder="1" applyFont="1">
      <alignment horizontal="left" shrinkToFit="0" wrapText="1"/>
    </xf>
    <xf borderId="28" fillId="0" fontId="14" numFmtId="165" xfId="0" applyAlignment="1" applyBorder="1" applyFont="1" applyNumberFormat="1">
      <alignment readingOrder="0"/>
    </xf>
    <xf borderId="28" fillId="0" fontId="14" numFmtId="165" xfId="0" applyBorder="1" applyFont="1" applyNumberFormat="1"/>
    <xf borderId="29" fillId="0" fontId="14" numFmtId="165" xfId="0" applyBorder="1" applyFont="1" applyNumberFormat="1"/>
    <xf borderId="2" fillId="0" fontId="9" numFmtId="0" xfId="0" applyAlignment="1" applyBorder="1" applyFont="1">
      <alignment shrinkToFit="0" vertical="bottom" wrapText="0"/>
    </xf>
    <xf borderId="2" fillId="0" fontId="9" numFmtId="0" xfId="0" applyAlignment="1" applyBorder="1" applyFont="1">
      <alignment horizontal="right" shrinkToFit="0" vertical="bottom" wrapText="0"/>
    </xf>
    <xf borderId="2" fillId="0" fontId="15" numFmtId="0" xfId="0" applyAlignment="1" applyBorder="1" applyFont="1">
      <alignment shrinkToFit="0" vertical="bottom" wrapText="0"/>
    </xf>
    <xf borderId="42" fillId="3" fontId="16" numFmtId="0" xfId="0" applyAlignment="1" applyBorder="1" applyFont="1">
      <alignment horizontal="left" shrinkToFit="0" wrapText="1"/>
    </xf>
    <xf borderId="43" fillId="3" fontId="12" numFmtId="165" xfId="0" applyBorder="1" applyFont="1" applyNumberFormat="1"/>
    <xf borderId="44" fillId="3" fontId="12" numFmtId="165" xfId="0" applyBorder="1" applyFont="1" applyNumberFormat="1"/>
    <xf borderId="13" fillId="0" fontId="5" numFmtId="0" xfId="0" applyAlignment="1" applyBorder="1" applyFont="1">
      <alignment horizontal="left"/>
    </xf>
    <xf borderId="13" fillId="0" fontId="5" numFmtId="165" xfId="0" applyBorder="1" applyFont="1" applyNumberFormat="1"/>
    <xf borderId="14" fillId="0" fontId="5" numFmtId="165" xfId="0" applyBorder="1" applyFont="1" applyNumberFormat="1"/>
    <xf borderId="24" fillId="3" fontId="11" numFmtId="0" xfId="0" applyAlignment="1" applyBorder="1" applyFont="1">
      <alignment horizontal="left"/>
    </xf>
    <xf borderId="25" fillId="3" fontId="11" numFmtId="165" xfId="0" applyBorder="1" applyFont="1" applyNumberFormat="1"/>
    <xf borderId="26" fillId="3" fontId="11" numFmtId="165" xfId="0" applyBorder="1" applyFont="1" applyNumberFormat="1"/>
    <xf borderId="27" fillId="5" fontId="8" numFmtId="0" xfId="0" applyAlignment="1" applyBorder="1" applyFill="1" applyFont="1">
      <alignment horizontal="left" readingOrder="0"/>
    </xf>
    <xf borderId="28" fillId="5" fontId="5" numFmtId="165" xfId="0" applyBorder="1" applyFont="1" applyNumberFormat="1"/>
    <xf borderId="29" fillId="5" fontId="5" numFmtId="165" xfId="0" applyBorder="1" applyFont="1" applyNumberFormat="1"/>
    <xf borderId="45" fillId="0" fontId="1" numFmtId="0" xfId="0" applyBorder="1" applyFont="1"/>
    <xf borderId="38" fillId="5" fontId="8" numFmtId="0" xfId="0" applyAlignment="1" applyBorder="1" applyFont="1">
      <alignment horizontal="left" readingOrder="0"/>
    </xf>
    <xf borderId="39" fillId="5" fontId="8" numFmtId="165" xfId="0" applyBorder="1" applyFont="1" applyNumberFormat="1"/>
    <xf borderId="40" fillId="5" fontId="8" numFmtId="165"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571500</xdr:colOff>
      <xdr:row>0</xdr:row>
      <xdr:rowOff>66675</xdr:rowOff>
    </xdr:from>
    <xdr:ext cx="695325" cy="219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5"/>
    <col customWidth="1" min="2" max="2" width="26.38"/>
    <col customWidth="1" min="8" max="8" width="13.38"/>
    <col customWidth="1" min="9" max="9" width="4.13"/>
    <col customWidth="1" min="10" max="10" width="21.75"/>
  </cols>
  <sheetData>
    <row r="1" ht="20.25" customHeight="1">
      <c r="A1" s="1"/>
      <c r="B1" s="2"/>
      <c r="I1" s="3"/>
      <c r="J1" s="3"/>
      <c r="K1" s="3"/>
      <c r="L1" s="3"/>
    </row>
    <row r="2" ht="46.5" customHeight="1">
      <c r="A2" s="4"/>
      <c r="B2" s="5" t="s">
        <v>0</v>
      </c>
      <c r="C2" s="6"/>
      <c r="D2" s="6"/>
      <c r="E2" s="6"/>
      <c r="F2" s="6"/>
      <c r="G2" s="6"/>
      <c r="H2" s="7"/>
      <c r="I2" s="3"/>
      <c r="J2" s="3"/>
      <c r="K2" s="3"/>
      <c r="L2" s="3"/>
    </row>
    <row r="3" ht="15.75" customHeight="1">
      <c r="A3" s="4"/>
      <c r="B3" s="8" t="s">
        <v>1</v>
      </c>
      <c r="C3" s="9"/>
      <c r="D3" s="9"/>
      <c r="E3" s="9"/>
      <c r="F3" s="9"/>
      <c r="G3" s="9"/>
      <c r="H3" s="10"/>
      <c r="I3" s="3"/>
      <c r="J3" s="11"/>
      <c r="K3" s="12"/>
      <c r="L3" s="13"/>
    </row>
    <row r="4" ht="15.75" customHeight="1">
      <c r="A4" s="14"/>
      <c r="B4" s="15"/>
      <c r="C4" s="16"/>
      <c r="D4" s="16"/>
      <c r="E4" s="16"/>
      <c r="F4" s="16"/>
      <c r="G4" s="16"/>
      <c r="H4" s="17"/>
      <c r="I4" s="18"/>
      <c r="J4" s="19"/>
      <c r="K4" s="19"/>
      <c r="L4" s="19"/>
    </row>
    <row r="5" ht="15.75" customHeight="1">
      <c r="A5" s="4"/>
      <c r="B5" s="20" t="s">
        <v>2</v>
      </c>
      <c r="C5" s="21"/>
      <c r="D5" s="21"/>
      <c r="E5" s="21"/>
      <c r="F5" s="21"/>
      <c r="G5" s="21"/>
      <c r="H5" s="22"/>
      <c r="I5" s="4"/>
      <c r="J5" s="19"/>
      <c r="K5" s="19"/>
      <c r="L5" s="19"/>
    </row>
    <row r="6" ht="15.75" customHeight="1">
      <c r="A6" s="4"/>
      <c r="B6" s="23"/>
      <c r="C6" s="24" t="s">
        <v>3</v>
      </c>
      <c r="D6" s="24" t="s">
        <v>4</v>
      </c>
      <c r="E6" s="24" t="s">
        <v>5</v>
      </c>
      <c r="F6" s="25" t="s">
        <v>6</v>
      </c>
      <c r="G6" s="26" t="s">
        <v>7</v>
      </c>
      <c r="H6" s="27" t="s">
        <v>8</v>
      </c>
      <c r="I6" s="4"/>
      <c r="J6" s="28"/>
      <c r="K6" s="28"/>
      <c r="L6" s="28"/>
    </row>
    <row r="7" ht="15.75" customHeight="1">
      <c r="A7" s="4"/>
      <c r="B7" s="29" t="s">
        <v>9</v>
      </c>
      <c r="C7" s="30">
        <v>100000.0</v>
      </c>
      <c r="D7" s="30">
        <v>150000.0</v>
      </c>
      <c r="E7" s="30">
        <v>175000.0</v>
      </c>
      <c r="F7" s="30">
        <v>200000.0</v>
      </c>
      <c r="G7" s="31">
        <v>80000.0</v>
      </c>
      <c r="H7" s="32"/>
      <c r="I7" s="4"/>
      <c r="J7" s="33" t="s">
        <v>10</v>
      </c>
      <c r="K7" s="6"/>
      <c r="L7" s="7"/>
    </row>
    <row r="8" ht="15.75" customHeight="1">
      <c r="A8" s="4"/>
      <c r="B8" s="34" t="s">
        <v>11</v>
      </c>
      <c r="C8" s="35">
        <f t="shared" ref="C8:F8" si="1">(C7*0.9)/12</f>
        <v>7500</v>
      </c>
      <c r="D8" s="35">
        <f t="shared" si="1"/>
        <v>11250</v>
      </c>
      <c r="E8" s="35">
        <f t="shared" si="1"/>
        <v>13125</v>
      </c>
      <c r="F8" s="35">
        <f t="shared" si="1"/>
        <v>15000</v>
      </c>
      <c r="G8" s="36">
        <v>5000.0</v>
      </c>
      <c r="H8" s="37"/>
      <c r="I8" s="4"/>
      <c r="J8" s="38" t="s">
        <v>12</v>
      </c>
      <c r="L8" s="39"/>
    </row>
    <row r="9" ht="19.5" customHeight="1">
      <c r="A9" s="4"/>
      <c r="B9" s="34" t="s">
        <v>13</v>
      </c>
      <c r="C9" s="40">
        <v>1000.0</v>
      </c>
      <c r="D9" s="40">
        <v>1500.0</v>
      </c>
      <c r="E9" s="40">
        <v>2000.0</v>
      </c>
      <c r="F9" s="40">
        <v>2500.0</v>
      </c>
      <c r="G9" s="35"/>
      <c r="H9" s="37"/>
      <c r="I9" s="4"/>
      <c r="J9" s="41"/>
      <c r="K9" s="42"/>
      <c r="L9" s="43"/>
    </row>
    <row r="10" ht="15.75" customHeight="1">
      <c r="A10" s="4"/>
      <c r="B10" s="34" t="s">
        <v>14</v>
      </c>
      <c r="C10" s="40">
        <v>100.0</v>
      </c>
      <c r="D10" s="40">
        <v>100.0</v>
      </c>
      <c r="E10" s="40">
        <v>100.0</v>
      </c>
      <c r="F10" s="40">
        <v>100.0</v>
      </c>
      <c r="G10" s="35"/>
      <c r="H10" s="37"/>
      <c r="I10" s="4"/>
      <c r="J10" s="44" t="s">
        <v>15</v>
      </c>
      <c r="L10" s="39"/>
    </row>
    <row r="11" ht="15.75" customHeight="1">
      <c r="A11" s="4"/>
      <c r="B11" s="45" t="s">
        <v>16</v>
      </c>
      <c r="C11" s="40">
        <v>800.0</v>
      </c>
      <c r="D11" s="40">
        <v>1000.0</v>
      </c>
      <c r="E11" s="40">
        <v>1200.0</v>
      </c>
      <c r="F11" s="40">
        <v>1400.0</v>
      </c>
      <c r="G11" s="35"/>
      <c r="H11" s="37"/>
      <c r="I11" s="4"/>
      <c r="J11" s="46"/>
      <c r="L11" s="39"/>
    </row>
    <row r="12" ht="18.0" customHeight="1">
      <c r="A12" s="4"/>
      <c r="B12" s="45" t="s">
        <v>16</v>
      </c>
      <c r="C12" s="40">
        <v>3000.0</v>
      </c>
      <c r="D12" s="40">
        <v>3500.0</v>
      </c>
      <c r="E12" s="40">
        <v>4000.0</v>
      </c>
      <c r="F12" s="40">
        <v>4500.0</v>
      </c>
      <c r="G12" s="35"/>
      <c r="H12" s="37"/>
      <c r="I12" s="4"/>
      <c r="J12" s="46"/>
      <c r="L12" s="39"/>
    </row>
    <row r="13" ht="15.75" customHeight="1">
      <c r="A13" s="4"/>
      <c r="B13" s="47" t="s">
        <v>17</v>
      </c>
      <c r="C13" s="40">
        <v>5000.0</v>
      </c>
      <c r="D13" s="40">
        <v>6000.0</v>
      </c>
      <c r="E13" s="40">
        <v>7000.0</v>
      </c>
      <c r="F13" s="40">
        <v>8000.0</v>
      </c>
      <c r="G13" s="35"/>
      <c r="H13" s="37"/>
      <c r="I13" s="4"/>
      <c r="J13" s="48" t="s">
        <v>18</v>
      </c>
      <c r="K13" s="6"/>
      <c r="L13" s="7"/>
    </row>
    <row r="14" ht="15.75" customHeight="1">
      <c r="A14" s="4"/>
      <c r="B14" s="49" t="s">
        <v>19</v>
      </c>
      <c r="C14" s="35">
        <f t="shared" ref="C14:G14" si="2">sum(C8:C13)+(C7/12)</f>
        <v>25733.33333</v>
      </c>
      <c r="D14" s="35">
        <f t="shared" si="2"/>
        <v>35850</v>
      </c>
      <c r="E14" s="35">
        <f t="shared" si="2"/>
        <v>42008.33333</v>
      </c>
      <c r="F14" s="35">
        <f t="shared" si="2"/>
        <v>48166.66667</v>
      </c>
      <c r="G14" s="35">
        <f t="shared" si="2"/>
        <v>11666.66667</v>
      </c>
      <c r="H14" s="37">
        <f t="shared" ref="H14:H16" si="3">C14-G14</f>
        <v>14066.66667</v>
      </c>
      <c r="I14" s="50"/>
      <c r="J14" s="48" t="s">
        <v>20</v>
      </c>
      <c r="K14" s="6"/>
      <c r="L14" s="7"/>
    </row>
    <row r="15" ht="17.25" customHeight="1">
      <c r="A15" s="4"/>
      <c r="B15" s="51" t="s">
        <v>21</v>
      </c>
      <c r="C15" s="35"/>
      <c r="D15" s="35"/>
      <c r="E15" s="35"/>
      <c r="F15" s="35"/>
      <c r="G15" s="52">
        <v>20000.0</v>
      </c>
      <c r="H15" s="37">
        <f t="shared" si="3"/>
        <v>-20000</v>
      </c>
      <c r="I15" s="4"/>
      <c r="J15" s="53" t="s">
        <v>22</v>
      </c>
      <c r="K15" s="54"/>
      <c r="L15" s="55"/>
    </row>
    <row r="16" ht="15.75" customHeight="1">
      <c r="A16" s="4"/>
      <c r="B16" s="56" t="s">
        <v>23</v>
      </c>
      <c r="C16" s="57">
        <f t="shared" ref="C16:G16" si="4">((sum(C8:C13)*12)+C15+C7)</f>
        <v>308800</v>
      </c>
      <c r="D16" s="57">
        <f t="shared" si="4"/>
        <v>430200</v>
      </c>
      <c r="E16" s="57">
        <f t="shared" si="4"/>
        <v>504100</v>
      </c>
      <c r="F16" s="57">
        <f t="shared" si="4"/>
        <v>578000</v>
      </c>
      <c r="G16" s="57">
        <f t="shared" si="4"/>
        <v>160000</v>
      </c>
      <c r="H16" s="58">
        <f t="shared" si="3"/>
        <v>148800</v>
      </c>
      <c r="I16" s="4"/>
      <c r="J16" s="46"/>
      <c r="L16" s="39"/>
    </row>
    <row r="17" ht="15.75" customHeight="1">
      <c r="A17" s="4"/>
      <c r="B17" s="59"/>
      <c r="C17" s="60"/>
      <c r="D17" s="60"/>
      <c r="E17" s="60"/>
      <c r="F17" s="60"/>
      <c r="G17" s="60"/>
      <c r="H17" s="60"/>
      <c r="I17" s="4"/>
      <c r="J17" s="41"/>
      <c r="K17" s="42"/>
      <c r="L17" s="43"/>
    </row>
    <row r="18" ht="15.75" customHeight="1">
      <c r="A18" s="4"/>
      <c r="B18" s="61" t="s">
        <v>24</v>
      </c>
      <c r="C18" s="62"/>
      <c r="D18" s="62"/>
      <c r="E18" s="62"/>
      <c r="F18" s="62"/>
      <c r="G18" s="62"/>
      <c r="H18" s="32"/>
      <c r="I18" s="4"/>
      <c r="J18" s="53" t="s">
        <v>25</v>
      </c>
      <c r="K18" s="54"/>
      <c r="L18" s="55"/>
    </row>
    <row r="19" ht="15.75" customHeight="1">
      <c r="A19" s="63"/>
      <c r="B19" s="64" t="s">
        <v>26</v>
      </c>
      <c r="C19" s="65">
        <v>-2500.0</v>
      </c>
      <c r="D19" s="66">
        <f t="shared" ref="D19:F19" si="5">C19</f>
        <v>-2500</v>
      </c>
      <c r="E19" s="66">
        <f t="shared" si="5"/>
        <v>-2500</v>
      </c>
      <c r="F19" s="66">
        <f t="shared" si="5"/>
        <v>-2500</v>
      </c>
      <c r="G19" s="66">
        <v>-1900.0</v>
      </c>
      <c r="H19" s="67">
        <f t="shared" ref="H19:H31" si="7">C19-G19</f>
        <v>-600</v>
      </c>
      <c r="I19" s="4"/>
      <c r="J19" s="46"/>
      <c r="L19" s="39"/>
    </row>
    <row r="20" ht="15.75" customHeight="1">
      <c r="A20" s="4"/>
      <c r="B20" s="45" t="s">
        <v>27</v>
      </c>
      <c r="C20" s="66">
        <v>-150.0</v>
      </c>
      <c r="D20" s="66">
        <f t="shared" ref="D20:F20" si="6">C20</f>
        <v>-150</v>
      </c>
      <c r="E20" s="66">
        <f t="shared" si="6"/>
        <v>-150</v>
      </c>
      <c r="F20" s="66">
        <f t="shared" si="6"/>
        <v>-150</v>
      </c>
      <c r="G20" s="66">
        <f t="shared" ref="G20:G21" si="9">E20</f>
        <v>-150</v>
      </c>
      <c r="H20" s="67">
        <f t="shared" si="7"/>
        <v>0</v>
      </c>
      <c r="I20" s="4"/>
      <c r="J20" s="41"/>
      <c r="K20" s="42"/>
      <c r="L20" s="43"/>
    </row>
    <row r="21" ht="15.75" customHeight="1">
      <c r="A21" s="4"/>
      <c r="B21" s="45" t="s">
        <v>28</v>
      </c>
      <c r="C21" s="66">
        <v>-200.0</v>
      </c>
      <c r="D21" s="66">
        <f t="shared" ref="D21:F21" si="8">C21</f>
        <v>-200</v>
      </c>
      <c r="E21" s="66">
        <f t="shared" si="8"/>
        <v>-200</v>
      </c>
      <c r="F21" s="66">
        <f t="shared" si="8"/>
        <v>-200</v>
      </c>
      <c r="G21" s="66">
        <f t="shared" si="9"/>
        <v>-200</v>
      </c>
      <c r="H21" s="67">
        <f t="shared" si="7"/>
        <v>0</v>
      </c>
      <c r="I21" s="4"/>
      <c r="J21" s="53" t="s">
        <v>29</v>
      </c>
      <c r="K21" s="54"/>
      <c r="L21" s="55"/>
    </row>
    <row r="22" ht="15.75" customHeight="1">
      <c r="A22" s="4"/>
      <c r="B22" s="34" t="s">
        <v>30</v>
      </c>
      <c r="C22" s="66">
        <v>-90.0</v>
      </c>
      <c r="D22" s="66">
        <f t="shared" ref="D22:F22" si="10">C22</f>
        <v>-90</v>
      </c>
      <c r="E22" s="66">
        <f t="shared" si="10"/>
        <v>-90</v>
      </c>
      <c r="F22" s="66">
        <f t="shared" si="10"/>
        <v>-90</v>
      </c>
      <c r="G22" s="66">
        <v>-90.0</v>
      </c>
      <c r="H22" s="67">
        <f t="shared" si="7"/>
        <v>0</v>
      </c>
      <c r="I22" s="4"/>
      <c r="J22" s="46"/>
      <c r="L22" s="39"/>
    </row>
    <row r="23" ht="15.75" customHeight="1">
      <c r="A23" s="4"/>
      <c r="B23" s="45" t="s">
        <v>31</v>
      </c>
      <c r="C23" s="66">
        <v>-150.0</v>
      </c>
      <c r="D23" s="66">
        <f t="shared" ref="D23:F23" si="11">C23</f>
        <v>-150</v>
      </c>
      <c r="E23" s="66">
        <f t="shared" si="11"/>
        <v>-150</v>
      </c>
      <c r="F23" s="66">
        <f t="shared" si="11"/>
        <v>-150</v>
      </c>
      <c r="G23" s="66">
        <f t="shared" ref="G23:G24" si="13">E23</f>
        <v>-150</v>
      </c>
      <c r="H23" s="67">
        <f t="shared" si="7"/>
        <v>0</v>
      </c>
      <c r="I23" s="4"/>
      <c r="J23" s="41"/>
      <c r="K23" s="42"/>
      <c r="L23" s="43"/>
    </row>
    <row r="24" ht="15.75" customHeight="1">
      <c r="A24" s="4"/>
      <c r="B24" s="45" t="s">
        <v>32</v>
      </c>
      <c r="C24" s="66">
        <v>-2000.0</v>
      </c>
      <c r="D24" s="66">
        <f t="shared" ref="D24:F24" si="12">C24</f>
        <v>-2000</v>
      </c>
      <c r="E24" s="66">
        <f t="shared" si="12"/>
        <v>-2000</v>
      </c>
      <c r="F24" s="66">
        <f t="shared" si="12"/>
        <v>-2000</v>
      </c>
      <c r="G24" s="66">
        <f t="shared" si="13"/>
        <v>-2000</v>
      </c>
      <c r="H24" s="67">
        <f t="shared" si="7"/>
        <v>0</v>
      </c>
      <c r="I24" s="4"/>
      <c r="J24" s="3"/>
      <c r="K24" s="3"/>
      <c r="L24" s="3"/>
    </row>
    <row r="25" ht="15.75" customHeight="1">
      <c r="A25" s="4"/>
      <c r="B25" s="45" t="s">
        <v>33</v>
      </c>
      <c r="C25" s="66">
        <v>-200.0</v>
      </c>
      <c r="D25" s="66">
        <f t="shared" ref="D25:F25" si="14">C25</f>
        <v>-200</v>
      </c>
      <c r="E25" s="66">
        <f t="shared" si="14"/>
        <v>-200</v>
      </c>
      <c r="F25" s="66">
        <f t="shared" si="14"/>
        <v>-200</v>
      </c>
      <c r="G25" s="66">
        <v>-250.0</v>
      </c>
      <c r="H25" s="67">
        <f t="shared" si="7"/>
        <v>50</v>
      </c>
      <c r="I25" s="4"/>
      <c r="J25" s="68"/>
      <c r="K25" s="69"/>
      <c r="L25" s="3"/>
    </row>
    <row r="26" ht="15.75" customHeight="1">
      <c r="A26" s="4"/>
      <c r="B26" s="45" t="s">
        <v>34</v>
      </c>
      <c r="C26" s="66">
        <v>-1000.0</v>
      </c>
      <c r="D26" s="66">
        <f t="shared" ref="D26:F26" si="15">C26</f>
        <v>-1000</v>
      </c>
      <c r="E26" s="66">
        <f t="shared" si="15"/>
        <v>-1000</v>
      </c>
      <c r="F26" s="66">
        <f t="shared" si="15"/>
        <v>-1000</v>
      </c>
      <c r="G26" s="66">
        <f>E26</f>
        <v>-1000</v>
      </c>
      <c r="H26" s="67">
        <f t="shared" si="7"/>
        <v>0</v>
      </c>
      <c r="I26" s="4"/>
      <c r="J26" s="68"/>
      <c r="K26" s="69"/>
      <c r="L26" s="3"/>
    </row>
    <row r="27" ht="15.75" customHeight="1">
      <c r="A27" s="4"/>
      <c r="B27" s="45" t="s">
        <v>35</v>
      </c>
      <c r="C27" s="66">
        <v>-300.0</v>
      </c>
      <c r="D27" s="66">
        <f>C27</f>
        <v>-300</v>
      </c>
      <c r="E27" s="66">
        <f t="shared" ref="E27:F27" si="16">C27</f>
        <v>-300</v>
      </c>
      <c r="F27" s="66">
        <f t="shared" si="16"/>
        <v>-300</v>
      </c>
      <c r="G27" s="66">
        <v>-500.0</v>
      </c>
      <c r="H27" s="67">
        <f t="shared" si="7"/>
        <v>200</v>
      </c>
      <c r="I27" s="4"/>
      <c r="J27" s="68"/>
      <c r="K27" s="69"/>
      <c r="L27" s="3"/>
    </row>
    <row r="28" ht="15.75" customHeight="1">
      <c r="A28" s="4"/>
      <c r="B28" s="45" t="s">
        <v>36</v>
      </c>
      <c r="C28" s="66">
        <v>-160.0</v>
      </c>
      <c r="D28" s="66">
        <v>-160.0</v>
      </c>
      <c r="E28" s="66">
        <v>-160.0</v>
      </c>
      <c r="F28" s="66">
        <v>-160.0</v>
      </c>
      <c r="G28" s="66">
        <v>-160.0</v>
      </c>
      <c r="H28" s="67">
        <f t="shared" si="7"/>
        <v>0</v>
      </c>
      <c r="I28" s="4"/>
      <c r="J28" s="70"/>
      <c r="K28" s="69"/>
      <c r="L28" s="3"/>
    </row>
    <row r="29" ht="15.75" customHeight="1">
      <c r="A29" s="4"/>
      <c r="B29" s="45" t="s">
        <v>37</v>
      </c>
      <c r="C29" s="66">
        <v>-100.0</v>
      </c>
      <c r="D29" s="66">
        <v>-100.0</v>
      </c>
      <c r="E29" s="66">
        <v>-100.0</v>
      </c>
      <c r="F29" s="66">
        <v>-100.0</v>
      </c>
      <c r="G29" s="66">
        <v>-100.0</v>
      </c>
      <c r="H29" s="67">
        <f t="shared" si="7"/>
        <v>0</v>
      </c>
      <c r="I29" s="4"/>
      <c r="J29" s="70"/>
      <c r="K29" s="69"/>
      <c r="L29" s="3"/>
    </row>
    <row r="30" ht="15.75" customHeight="1">
      <c r="A30" s="4"/>
      <c r="B30" s="45" t="s">
        <v>38</v>
      </c>
      <c r="C30" s="66">
        <v>-150.0</v>
      </c>
      <c r="D30" s="66">
        <f t="shared" ref="D30:D31" si="18">C30</f>
        <v>-150</v>
      </c>
      <c r="E30" s="66">
        <f t="shared" ref="E30:F30" si="17">C30</f>
        <v>-150</v>
      </c>
      <c r="F30" s="66">
        <f t="shared" si="17"/>
        <v>-150</v>
      </c>
      <c r="G30" s="66">
        <v>-150.0</v>
      </c>
      <c r="H30" s="67">
        <f t="shared" si="7"/>
        <v>0</v>
      </c>
      <c r="I30" s="4"/>
      <c r="J30" s="70"/>
      <c r="K30" s="69"/>
      <c r="L30" s="3"/>
    </row>
    <row r="31" ht="15.75" customHeight="1">
      <c r="A31" s="4"/>
      <c r="B31" s="47" t="s">
        <v>39</v>
      </c>
      <c r="C31" s="66">
        <v>-1000.0</v>
      </c>
      <c r="D31" s="66">
        <f t="shared" si="18"/>
        <v>-1000</v>
      </c>
      <c r="E31" s="66">
        <f t="shared" ref="E31:F31" si="19">D31</f>
        <v>-1000</v>
      </c>
      <c r="F31" s="66">
        <f t="shared" si="19"/>
        <v>-1000</v>
      </c>
      <c r="G31" s="66">
        <f>E31</f>
        <v>-1000</v>
      </c>
      <c r="H31" s="67">
        <f t="shared" si="7"/>
        <v>0</v>
      </c>
      <c r="I31" s="4"/>
      <c r="J31" s="70"/>
      <c r="K31" s="69"/>
      <c r="L31" s="3"/>
    </row>
    <row r="32" ht="15.75" customHeight="1">
      <c r="A32" s="4"/>
      <c r="B32" s="47" t="s">
        <v>40</v>
      </c>
      <c r="C32" s="66">
        <v>1000.0</v>
      </c>
      <c r="D32" s="66">
        <v>1000.0</v>
      </c>
      <c r="E32" s="66">
        <v>1000.0</v>
      </c>
      <c r="F32" s="66">
        <v>1000.0</v>
      </c>
      <c r="G32" s="66">
        <v>1000.0</v>
      </c>
      <c r="H32" s="67"/>
      <c r="I32" s="4"/>
      <c r="J32" s="70"/>
      <c r="K32" s="69"/>
      <c r="L32" s="3"/>
    </row>
    <row r="33" ht="15.75" customHeight="1">
      <c r="A33" s="4"/>
      <c r="B33" s="71" t="s">
        <v>41</v>
      </c>
      <c r="C33" s="72">
        <f t="shared" ref="C33:G33" si="20">sum(C19:C32)</f>
        <v>-7000</v>
      </c>
      <c r="D33" s="72">
        <f t="shared" si="20"/>
        <v>-7000</v>
      </c>
      <c r="E33" s="72">
        <f t="shared" si="20"/>
        <v>-7000</v>
      </c>
      <c r="F33" s="72">
        <f t="shared" si="20"/>
        <v>-7000</v>
      </c>
      <c r="G33" s="72">
        <f t="shared" si="20"/>
        <v>-6650</v>
      </c>
      <c r="H33" s="73">
        <f>sum(H19:H27)</f>
        <v>-350</v>
      </c>
      <c r="I33" s="4"/>
      <c r="J33" s="70"/>
      <c r="K33" s="69"/>
      <c r="L33" s="3"/>
    </row>
    <row r="34" ht="17.25" customHeight="1">
      <c r="A34" s="4"/>
      <c r="B34" s="74"/>
      <c r="C34" s="75"/>
      <c r="D34" s="75"/>
      <c r="E34" s="75"/>
      <c r="F34" s="75"/>
      <c r="G34" s="75"/>
      <c r="H34" s="76"/>
      <c r="I34" s="18"/>
      <c r="J34" s="3"/>
      <c r="K34" s="3"/>
      <c r="L34" s="3"/>
    </row>
    <row r="35" ht="15.75" customHeight="1">
      <c r="A35" s="4"/>
      <c r="B35" s="77" t="s">
        <v>42</v>
      </c>
      <c r="C35" s="78">
        <f t="shared" ref="C35:G35" si="21">(C14+C33)</f>
        <v>18733.33333</v>
      </c>
      <c r="D35" s="78">
        <f t="shared" si="21"/>
        <v>28850</v>
      </c>
      <c r="E35" s="78">
        <f t="shared" si="21"/>
        <v>35008.33333</v>
      </c>
      <c r="F35" s="78">
        <f t="shared" si="21"/>
        <v>41166.66667</v>
      </c>
      <c r="G35" s="78">
        <f t="shared" si="21"/>
        <v>5016.666667</v>
      </c>
      <c r="H35" s="79">
        <f t="shared" ref="H35:H37" si="23">C35-G35</f>
        <v>13716.66667</v>
      </c>
      <c r="I35" s="50"/>
      <c r="J35" s="3"/>
      <c r="K35" s="3"/>
      <c r="L35" s="3"/>
    </row>
    <row r="36" ht="15.75" customHeight="1">
      <c r="A36" s="4"/>
      <c r="B36" s="80" t="s">
        <v>43</v>
      </c>
      <c r="C36" s="81">
        <f t="shared" ref="C36:G36" si="22">C15+C7</f>
        <v>100000</v>
      </c>
      <c r="D36" s="81">
        <f t="shared" si="22"/>
        <v>150000</v>
      </c>
      <c r="E36" s="81">
        <f t="shared" si="22"/>
        <v>175000</v>
      </c>
      <c r="F36" s="81">
        <f t="shared" si="22"/>
        <v>200000</v>
      </c>
      <c r="G36" s="81">
        <f t="shared" si="22"/>
        <v>100000</v>
      </c>
      <c r="H36" s="82">
        <f t="shared" si="23"/>
        <v>0</v>
      </c>
      <c r="I36" s="4"/>
      <c r="J36" s="3"/>
      <c r="K36" s="3"/>
      <c r="L36" s="3"/>
    </row>
    <row r="37" ht="15.75" customHeight="1">
      <c r="A37" s="83"/>
      <c r="B37" s="84" t="s">
        <v>44</v>
      </c>
      <c r="C37" s="85">
        <f t="shared" ref="C37:G37" si="24">C16+(C33*12)</f>
        <v>224800</v>
      </c>
      <c r="D37" s="85">
        <f t="shared" si="24"/>
        <v>346200</v>
      </c>
      <c r="E37" s="85">
        <f t="shared" si="24"/>
        <v>420100</v>
      </c>
      <c r="F37" s="85">
        <f t="shared" si="24"/>
        <v>494000</v>
      </c>
      <c r="G37" s="85">
        <f t="shared" si="24"/>
        <v>80200</v>
      </c>
      <c r="H37" s="86">
        <f t="shared" si="23"/>
        <v>144600</v>
      </c>
      <c r="I37" s="50"/>
      <c r="J37" s="3"/>
      <c r="K37" s="3"/>
      <c r="L37" s="3"/>
    </row>
  </sheetData>
  <mergeCells count="12">
    <mergeCell ref="J14:L14"/>
    <mergeCell ref="J15:L17"/>
    <mergeCell ref="J8:L9"/>
    <mergeCell ref="J10:L12"/>
    <mergeCell ref="B1:H1"/>
    <mergeCell ref="B2:H2"/>
    <mergeCell ref="B3:H3"/>
    <mergeCell ref="B5:H5"/>
    <mergeCell ref="J13:L13"/>
    <mergeCell ref="J21:L23"/>
    <mergeCell ref="J18:L20"/>
    <mergeCell ref="J7:L7"/>
  </mergeCells>
  <drawing r:id="rId1"/>
</worksheet>
</file>